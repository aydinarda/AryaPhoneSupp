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Asistan\Arya Phone\"/>
    </mc:Choice>
  </mc:AlternateContent>
  <xr:revisionPtr revIDLastSave="0" documentId="13_ncr:1_{126C6FDA-92FA-469E-B520-CDD86EA51C2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upplier" sheetId="1" r:id="rId1"/>
    <sheet name="User" sheetId="2" r:id="rId2"/>
    <sheet name="Max Profit Agent" sheetId="3" r:id="rId3"/>
    <sheet name="Min Cost Agent (2)" sheetId="4" r:id="rId4"/>
    <sheet name="Max Match Agent" sheetId="5" r:id="rId5"/>
    <sheet name="Best Global Policy" sheetId="6" r:id="rId6"/>
    <sheet name="Arya Case" sheetId="7" r:id="rId7"/>
  </sheets>
  <definedNames>
    <definedName name="_xlnm._FilterDatabase" localSheetId="1" hidden="1">User!$A$1:$H$21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'Max Profit Agent'!$C$55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7" l="1" a="1"/>
  <c r="G20" i="7" s="1"/>
  <c r="F14" i="7" a="1"/>
  <c r="F20" i="7" s="1"/>
  <c r="E18" i="7"/>
  <c r="E14" i="7" a="1"/>
  <c r="E16" i="7" s="1"/>
  <c r="D14" i="7" a="1"/>
  <c r="D20" i="7" s="1"/>
  <c r="C14" i="7" a="1"/>
  <c r="C20" i="7" s="1"/>
  <c r="M10" i="7"/>
  <c r="L10" i="7"/>
  <c r="K10" i="7"/>
  <c r="M9" i="7"/>
  <c r="L9" i="7"/>
  <c r="K9" i="7"/>
  <c r="M8" i="7"/>
  <c r="L8" i="7"/>
  <c r="K8" i="7"/>
  <c r="M7" i="7"/>
  <c r="L7" i="7"/>
  <c r="K7" i="7"/>
  <c r="M6" i="7"/>
  <c r="L6" i="7"/>
  <c r="K6" i="7"/>
  <c r="M5" i="7"/>
  <c r="L5" i="7"/>
  <c r="K5" i="7"/>
  <c r="M4" i="7"/>
  <c r="K14" i="7" s="1" a="1"/>
  <c r="L4" i="7"/>
  <c r="J14" i="7" s="1" a="1"/>
  <c r="K4" i="7"/>
  <c r="L43" i="6"/>
  <c r="K43" i="6"/>
  <c r="J43" i="6"/>
  <c r="I43" i="6"/>
  <c r="H43" i="6"/>
  <c r="G43" i="6"/>
  <c r="F43" i="6"/>
  <c r="E43" i="6"/>
  <c r="D43" i="6"/>
  <c r="C43" i="6"/>
  <c r="L42" i="6"/>
  <c r="K42" i="6"/>
  <c r="J42" i="6"/>
  <c r="I42" i="6"/>
  <c r="H42" i="6"/>
  <c r="G42" i="6"/>
  <c r="F42" i="6"/>
  <c r="E42" i="6"/>
  <c r="D42" i="6"/>
  <c r="C42" i="6"/>
  <c r="L41" i="6"/>
  <c r="K41" i="6"/>
  <c r="J41" i="6"/>
  <c r="I41" i="6"/>
  <c r="H41" i="6"/>
  <c r="G41" i="6"/>
  <c r="F41" i="6"/>
  <c r="E41" i="6"/>
  <c r="D41" i="6"/>
  <c r="C41" i="6"/>
  <c r="L40" i="6"/>
  <c r="K40" i="6"/>
  <c r="J40" i="6"/>
  <c r="I40" i="6"/>
  <c r="H40" i="6"/>
  <c r="G40" i="6"/>
  <c r="F40" i="6"/>
  <c r="E40" i="6"/>
  <c r="D40" i="6"/>
  <c r="C40" i="6"/>
  <c r="L39" i="6"/>
  <c r="K39" i="6"/>
  <c r="J39" i="6"/>
  <c r="I39" i="6"/>
  <c r="H39" i="6"/>
  <c r="G39" i="6"/>
  <c r="F39" i="6"/>
  <c r="E39" i="6"/>
  <c r="D39" i="6"/>
  <c r="C39" i="6"/>
  <c r="L38" i="6"/>
  <c r="K38" i="6"/>
  <c r="J38" i="6"/>
  <c r="I38" i="6"/>
  <c r="H38" i="6"/>
  <c r="G38" i="6"/>
  <c r="F38" i="6"/>
  <c r="E38" i="6"/>
  <c r="D38" i="6"/>
  <c r="C38" i="6"/>
  <c r="L37" i="6"/>
  <c r="K37" i="6"/>
  <c r="J37" i="6"/>
  <c r="I37" i="6"/>
  <c r="H37" i="6"/>
  <c r="G37" i="6"/>
  <c r="F37" i="6"/>
  <c r="E37" i="6"/>
  <c r="D37" i="6"/>
  <c r="C37" i="6"/>
  <c r="I34" i="6"/>
  <c r="I33" i="6"/>
  <c r="I32" i="6"/>
  <c r="I31" i="6"/>
  <c r="I30" i="6"/>
  <c r="I29" i="6"/>
  <c r="I28" i="6"/>
  <c r="I27" i="6"/>
  <c r="I26" i="6"/>
  <c r="I25" i="6"/>
  <c r="G19" i="6"/>
  <c r="G15" i="6"/>
  <c r="G14" i="6" a="1"/>
  <c r="G14" i="6" s="1"/>
  <c r="F19" i="6"/>
  <c r="F15" i="6"/>
  <c r="F14" i="6" a="1"/>
  <c r="F20" i="6" s="1"/>
  <c r="E19" i="6"/>
  <c r="E18" i="6"/>
  <c r="E15" i="6"/>
  <c r="E14" i="6" a="1"/>
  <c r="E17" i="6" s="1"/>
  <c r="D19" i="6"/>
  <c r="D15" i="6"/>
  <c r="D14" i="6" a="1"/>
  <c r="D14" i="6" s="1"/>
  <c r="C15" i="6"/>
  <c r="C14" i="6" a="1"/>
  <c r="C20" i="6" s="1"/>
  <c r="M10" i="6"/>
  <c r="L10" i="6"/>
  <c r="K10" i="6"/>
  <c r="M9" i="6"/>
  <c r="L9" i="6"/>
  <c r="K9" i="6"/>
  <c r="M8" i="6"/>
  <c r="L8" i="6"/>
  <c r="K8" i="6"/>
  <c r="M7" i="6"/>
  <c r="L7" i="6"/>
  <c r="K7" i="6"/>
  <c r="M6" i="6"/>
  <c r="L6" i="6"/>
  <c r="J14" i="6" s="1" a="1"/>
  <c r="K6" i="6"/>
  <c r="M5" i="6"/>
  <c r="L5" i="6"/>
  <c r="K5" i="6"/>
  <c r="M4" i="6"/>
  <c r="K14" i="6" s="1" a="1"/>
  <c r="L4" i="6"/>
  <c r="K4" i="6"/>
  <c r="L43" i="5"/>
  <c r="K43" i="5"/>
  <c r="J43" i="5"/>
  <c r="I43" i="5"/>
  <c r="H43" i="5"/>
  <c r="G43" i="5"/>
  <c r="F43" i="5"/>
  <c r="E43" i="5"/>
  <c r="D43" i="5"/>
  <c r="C43" i="5"/>
  <c r="L42" i="5"/>
  <c r="K42" i="5"/>
  <c r="J42" i="5"/>
  <c r="I42" i="5"/>
  <c r="H42" i="5"/>
  <c r="G42" i="5"/>
  <c r="F42" i="5"/>
  <c r="E42" i="5"/>
  <c r="D42" i="5"/>
  <c r="C42" i="5"/>
  <c r="L41" i="5"/>
  <c r="K41" i="5"/>
  <c r="J41" i="5"/>
  <c r="I41" i="5"/>
  <c r="H41" i="5"/>
  <c r="G41" i="5"/>
  <c r="F41" i="5"/>
  <c r="E41" i="5"/>
  <c r="D41" i="5"/>
  <c r="C41" i="5"/>
  <c r="L40" i="5"/>
  <c r="K40" i="5"/>
  <c r="J40" i="5"/>
  <c r="I40" i="5"/>
  <c r="H40" i="5"/>
  <c r="G40" i="5"/>
  <c r="F40" i="5"/>
  <c r="E40" i="5"/>
  <c r="D40" i="5"/>
  <c r="C40" i="5"/>
  <c r="L39" i="5"/>
  <c r="K39" i="5"/>
  <c r="J39" i="5"/>
  <c r="I39" i="5"/>
  <c r="H39" i="5"/>
  <c r="G39" i="5"/>
  <c r="F39" i="5"/>
  <c r="E39" i="5"/>
  <c r="D39" i="5"/>
  <c r="C39" i="5"/>
  <c r="L38" i="5"/>
  <c r="K38" i="5"/>
  <c r="J38" i="5"/>
  <c r="I38" i="5"/>
  <c r="H38" i="5"/>
  <c r="G38" i="5"/>
  <c r="F38" i="5"/>
  <c r="E38" i="5"/>
  <c r="D38" i="5"/>
  <c r="C38" i="5"/>
  <c r="L37" i="5"/>
  <c r="K37" i="5"/>
  <c r="J37" i="5"/>
  <c r="I37" i="5"/>
  <c r="H37" i="5"/>
  <c r="G37" i="5"/>
  <c r="F37" i="5"/>
  <c r="E37" i="5"/>
  <c r="D37" i="5"/>
  <c r="C37" i="5"/>
  <c r="I34" i="5"/>
  <c r="I33" i="5"/>
  <c r="I32" i="5"/>
  <c r="I31" i="5"/>
  <c r="I30" i="5"/>
  <c r="I29" i="5"/>
  <c r="I28" i="5"/>
  <c r="I27" i="5"/>
  <c r="I26" i="5"/>
  <c r="I25" i="5"/>
  <c r="G20" i="5"/>
  <c r="G19" i="5"/>
  <c r="G16" i="5"/>
  <c r="G15" i="5"/>
  <c r="G14" i="5" a="1"/>
  <c r="G14" i="5" s="1"/>
  <c r="F20" i="5"/>
  <c r="F19" i="5"/>
  <c r="F16" i="5"/>
  <c r="F15" i="5"/>
  <c r="F14" i="5" a="1"/>
  <c r="F18" i="5" s="1"/>
  <c r="E20" i="5"/>
  <c r="E19" i="5"/>
  <c r="E16" i="5"/>
  <c r="E15" i="5"/>
  <c r="E14" i="5" a="1"/>
  <c r="E18" i="5" s="1"/>
  <c r="D20" i="5"/>
  <c r="D19" i="5"/>
  <c r="D16" i="5"/>
  <c r="D15" i="5"/>
  <c r="D14" i="5" a="1"/>
  <c r="D14" i="5" s="1"/>
  <c r="C16" i="5"/>
  <c r="C14" i="5" a="1"/>
  <c r="C20" i="5" s="1"/>
  <c r="M10" i="5"/>
  <c r="L10" i="5"/>
  <c r="K10" i="5"/>
  <c r="M9" i="5"/>
  <c r="L9" i="5"/>
  <c r="K9" i="5"/>
  <c r="M8" i="5"/>
  <c r="L8" i="5"/>
  <c r="K8" i="5"/>
  <c r="M7" i="5"/>
  <c r="L7" i="5"/>
  <c r="K7" i="5"/>
  <c r="M6" i="5"/>
  <c r="L6" i="5"/>
  <c r="K6" i="5"/>
  <c r="M5" i="5"/>
  <c r="L5" i="5"/>
  <c r="K5" i="5"/>
  <c r="M4" i="5"/>
  <c r="K14" i="5" s="1" a="1"/>
  <c r="L4" i="5"/>
  <c r="J14" i="5" s="1" a="1"/>
  <c r="K4" i="5"/>
  <c r="L43" i="4"/>
  <c r="K43" i="4"/>
  <c r="J43" i="4"/>
  <c r="I43" i="4"/>
  <c r="H43" i="4"/>
  <c r="G43" i="4"/>
  <c r="F43" i="4"/>
  <c r="E43" i="4"/>
  <c r="D43" i="4"/>
  <c r="C43" i="4"/>
  <c r="L42" i="4"/>
  <c r="K42" i="4"/>
  <c r="J42" i="4"/>
  <c r="I42" i="4"/>
  <c r="H42" i="4"/>
  <c r="G42" i="4"/>
  <c r="F42" i="4"/>
  <c r="E42" i="4"/>
  <c r="D42" i="4"/>
  <c r="C42" i="4"/>
  <c r="L41" i="4"/>
  <c r="K41" i="4"/>
  <c r="J41" i="4"/>
  <c r="I41" i="4"/>
  <c r="H41" i="4"/>
  <c r="G41" i="4"/>
  <c r="F41" i="4"/>
  <c r="E41" i="4"/>
  <c r="D41" i="4"/>
  <c r="C41" i="4"/>
  <c r="L40" i="4"/>
  <c r="K40" i="4"/>
  <c r="J40" i="4"/>
  <c r="I40" i="4"/>
  <c r="H40" i="4"/>
  <c r="G40" i="4"/>
  <c r="F40" i="4"/>
  <c r="E40" i="4"/>
  <c r="D40" i="4"/>
  <c r="C40" i="4"/>
  <c r="L39" i="4"/>
  <c r="K39" i="4"/>
  <c r="J39" i="4"/>
  <c r="I39" i="4"/>
  <c r="H39" i="4"/>
  <c r="G39" i="4"/>
  <c r="F39" i="4"/>
  <c r="E39" i="4"/>
  <c r="D39" i="4"/>
  <c r="C39" i="4"/>
  <c r="L38" i="4"/>
  <c r="K38" i="4"/>
  <c r="J38" i="4"/>
  <c r="I38" i="4"/>
  <c r="H38" i="4"/>
  <c r="G38" i="4"/>
  <c r="F38" i="4"/>
  <c r="E38" i="4"/>
  <c r="D38" i="4"/>
  <c r="C38" i="4"/>
  <c r="L37" i="4"/>
  <c r="K37" i="4"/>
  <c r="J37" i="4"/>
  <c r="I37" i="4"/>
  <c r="H37" i="4"/>
  <c r="G37" i="4"/>
  <c r="F37" i="4"/>
  <c r="E37" i="4"/>
  <c r="D37" i="4"/>
  <c r="C37" i="4"/>
  <c r="X34" i="4"/>
  <c r="T34" i="4"/>
  <c r="S34" i="4"/>
  <c r="I34" i="4"/>
  <c r="X33" i="4"/>
  <c r="U33" i="4"/>
  <c r="T33" i="4"/>
  <c r="I33" i="4"/>
  <c r="U32" i="4"/>
  <c r="I32" i="4"/>
  <c r="X31" i="4"/>
  <c r="W31" i="4"/>
  <c r="I31" i="4"/>
  <c r="U30" i="4"/>
  <c r="T30" i="4"/>
  <c r="I30" i="4"/>
  <c r="X29" i="4"/>
  <c r="U29" i="4"/>
  <c r="I29" i="4"/>
  <c r="W28" i="4"/>
  <c r="U28" i="4"/>
  <c r="I28" i="4"/>
  <c r="I27" i="4"/>
  <c r="I26" i="4"/>
  <c r="I25" i="4"/>
  <c r="Z24" i="4"/>
  <c r="X24" i="4"/>
  <c r="W24" i="4"/>
  <c r="W34" i="4" s="1"/>
  <c r="V24" i="4"/>
  <c r="Y24" i="4" s="1"/>
  <c r="U24" i="4"/>
  <c r="AA24" i="4" s="1"/>
  <c r="T24" i="4"/>
  <c r="S24" i="4"/>
  <c r="AA23" i="4"/>
  <c r="X23" i="4"/>
  <c r="W23" i="4"/>
  <c r="W33" i="4" s="1"/>
  <c r="V23" i="4"/>
  <c r="V33" i="4" s="1"/>
  <c r="U23" i="4"/>
  <c r="T23" i="4"/>
  <c r="S23" i="4"/>
  <c r="Z23" i="4" s="1"/>
  <c r="X22" i="4"/>
  <c r="X32" i="4" s="1"/>
  <c r="W22" i="4"/>
  <c r="W32" i="4" s="1"/>
  <c r="V22" i="4"/>
  <c r="V32" i="4" s="1"/>
  <c r="U22" i="4"/>
  <c r="T22" i="4"/>
  <c r="T32" i="4" s="1"/>
  <c r="S22" i="4"/>
  <c r="Y22" i="4" s="1"/>
  <c r="X21" i="4"/>
  <c r="W21" i="4"/>
  <c r="V21" i="4"/>
  <c r="V31" i="4" s="1"/>
  <c r="U21" i="4"/>
  <c r="U31" i="4" s="1"/>
  <c r="T21" i="4"/>
  <c r="T31" i="4" s="1"/>
  <c r="S21" i="4"/>
  <c r="AA21" i="4" s="1"/>
  <c r="Z20" i="4"/>
  <c r="Y20" i="4"/>
  <c r="X20" i="4"/>
  <c r="X30" i="4" s="1"/>
  <c r="W20" i="4"/>
  <c r="W30" i="4" s="1"/>
  <c r="V20" i="4"/>
  <c r="V30" i="4" s="1"/>
  <c r="U20" i="4"/>
  <c r="T20" i="4"/>
  <c r="S20" i="4"/>
  <c r="AA20" i="4" s="1"/>
  <c r="AA19" i="4"/>
  <c r="Y19" i="4"/>
  <c r="X19" i="4"/>
  <c r="W19" i="4"/>
  <c r="W29" i="4" s="1"/>
  <c r="V19" i="4"/>
  <c r="V29" i="4" s="1"/>
  <c r="U19" i="4"/>
  <c r="T19" i="4"/>
  <c r="T29" i="4" s="1"/>
  <c r="S19" i="4"/>
  <c r="Z19" i="4" s="1"/>
  <c r="X18" i="4"/>
  <c r="X28" i="4" s="1"/>
  <c r="W18" i="4"/>
  <c r="V18" i="4"/>
  <c r="V28" i="4" s="1"/>
  <c r="U18" i="4"/>
  <c r="T18" i="4"/>
  <c r="T28" i="4" s="1"/>
  <c r="S18" i="4"/>
  <c r="Y18" i="4" s="1"/>
  <c r="G14" i="4" a="1"/>
  <c r="G19" i="4" s="1"/>
  <c r="F14" i="4" a="1"/>
  <c r="F15" i="4" s="1"/>
  <c r="E14" i="4" a="1"/>
  <c r="E20" i="4" s="1"/>
  <c r="D18" i="4"/>
  <c r="D14" i="4" a="1"/>
  <c r="D19" i="4" s="1"/>
  <c r="C14" i="4" a="1"/>
  <c r="C15" i="4" s="1"/>
  <c r="M10" i="4"/>
  <c r="L10" i="4"/>
  <c r="K10" i="4"/>
  <c r="M9" i="4"/>
  <c r="L9" i="4"/>
  <c r="K9" i="4"/>
  <c r="M8" i="4"/>
  <c r="L8" i="4"/>
  <c r="K8" i="4"/>
  <c r="M7" i="4"/>
  <c r="L7" i="4"/>
  <c r="J14" i="4" s="1" a="1"/>
  <c r="K7" i="4"/>
  <c r="M6" i="4"/>
  <c r="L6" i="4"/>
  <c r="K6" i="4"/>
  <c r="M5" i="4"/>
  <c r="L5" i="4"/>
  <c r="K5" i="4"/>
  <c r="M4" i="4"/>
  <c r="K14" i="4" s="1" a="1"/>
  <c r="L4" i="4"/>
  <c r="K4" i="4"/>
  <c r="C55" i="3"/>
  <c r="C51" i="3"/>
  <c r="C49" i="3"/>
  <c r="B49" i="3"/>
  <c r="L43" i="3"/>
  <c r="K43" i="3"/>
  <c r="J43" i="3"/>
  <c r="I43" i="3"/>
  <c r="H43" i="3"/>
  <c r="G43" i="3"/>
  <c r="F43" i="3"/>
  <c r="E43" i="3"/>
  <c r="M43" i="3" s="1"/>
  <c r="D43" i="3"/>
  <c r="C43" i="3"/>
  <c r="L42" i="3"/>
  <c r="K42" i="3"/>
  <c r="J42" i="3"/>
  <c r="I42" i="3"/>
  <c r="H42" i="3"/>
  <c r="G42" i="3"/>
  <c r="F42" i="3"/>
  <c r="E42" i="3"/>
  <c r="D42" i="3"/>
  <c r="M42" i="3" s="1"/>
  <c r="C42" i="3"/>
  <c r="L41" i="3"/>
  <c r="K41" i="3"/>
  <c r="J41" i="3"/>
  <c r="I41" i="3"/>
  <c r="H41" i="3"/>
  <c r="G41" i="3"/>
  <c r="F41" i="3"/>
  <c r="E41" i="3"/>
  <c r="D41" i="3"/>
  <c r="C41" i="3"/>
  <c r="M41" i="3" s="1"/>
  <c r="L40" i="3"/>
  <c r="K40" i="3"/>
  <c r="J40" i="3"/>
  <c r="I40" i="3"/>
  <c r="H40" i="3"/>
  <c r="G40" i="3"/>
  <c r="F40" i="3"/>
  <c r="E40" i="3"/>
  <c r="D40" i="3"/>
  <c r="C40" i="3"/>
  <c r="M40" i="3" s="1"/>
  <c r="L39" i="3"/>
  <c r="K39" i="3"/>
  <c r="J39" i="3"/>
  <c r="I39" i="3"/>
  <c r="H39" i="3"/>
  <c r="M39" i="3" s="1"/>
  <c r="G39" i="3"/>
  <c r="F39" i="3"/>
  <c r="E39" i="3"/>
  <c r="D39" i="3"/>
  <c r="C39" i="3"/>
  <c r="L38" i="3"/>
  <c r="K38" i="3"/>
  <c r="J38" i="3"/>
  <c r="I38" i="3"/>
  <c r="H38" i="3"/>
  <c r="G38" i="3"/>
  <c r="F38" i="3"/>
  <c r="E38" i="3"/>
  <c r="D38" i="3"/>
  <c r="D44" i="3" s="1"/>
  <c r="C38" i="3"/>
  <c r="L37" i="3"/>
  <c r="L44" i="3" s="1"/>
  <c r="K37" i="3"/>
  <c r="K44" i="3" s="1"/>
  <c r="J37" i="3"/>
  <c r="J44" i="3" s="1"/>
  <c r="I37" i="3"/>
  <c r="I44" i="3" s="1"/>
  <c r="H37" i="3"/>
  <c r="H44" i="3" s="1"/>
  <c r="G37" i="3"/>
  <c r="G44" i="3" s="1"/>
  <c r="F37" i="3"/>
  <c r="F44" i="3" s="1"/>
  <c r="E37" i="3"/>
  <c r="E44" i="3" s="1"/>
  <c r="D37" i="3"/>
  <c r="C37" i="3"/>
  <c r="C44" i="3" s="1"/>
  <c r="V34" i="3"/>
  <c r="T34" i="3"/>
  <c r="I34" i="3"/>
  <c r="V33" i="3"/>
  <c r="I33" i="3"/>
  <c r="W32" i="3"/>
  <c r="V32" i="3"/>
  <c r="U32" i="3"/>
  <c r="I32" i="3"/>
  <c r="T31" i="3"/>
  <c r="S31" i="3"/>
  <c r="I31" i="3"/>
  <c r="I30" i="3"/>
  <c r="X29" i="3"/>
  <c r="W29" i="3"/>
  <c r="V29" i="3"/>
  <c r="U29" i="3"/>
  <c r="I29" i="3"/>
  <c r="W28" i="3"/>
  <c r="V28" i="3"/>
  <c r="U28" i="3"/>
  <c r="T28" i="3"/>
  <c r="S28" i="3"/>
  <c r="Y28" i="3" s="1"/>
  <c r="I28" i="3"/>
  <c r="I27" i="3"/>
  <c r="I26" i="3"/>
  <c r="I25" i="3"/>
  <c r="X24" i="3"/>
  <c r="X34" i="3" s="1"/>
  <c r="W24" i="3"/>
  <c r="W34" i="3" s="1"/>
  <c r="V24" i="3"/>
  <c r="U24" i="3"/>
  <c r="U34" i="3" s="1"/>
  <c r="T24" i="3"/>
  <c r="S24" i="3"/>
  <c r="S34" i="3" s="1"/>
  <c r="AA23" i="3"/>
  <c r="X23" i="3"/>
  <c r="X33" i="3" s="1"/>
  <c r="W23" i="3"/>
  <c r="W33" i="3" s="1"/>
  <c r="V23" i="3"/>
  <c r="U23" i="3"/>
  <c r="U33" i="3" s="1"/>
  <c r="T23" i="3"/>
  <c r="T33" i="3" s="1"/>
  <c r="S23" i="3"/>
  <c r="Z23" i="3" s="1"/>
  <c r="AA22" i="3"/>
  <c r="Z22" i="3"/>
  <c r="Y22" i="3"/>
  <c r="X22" i="3"/>
  <c r="X32" i="3" s="1"/>
  <c r="W22" i="3"/>
  <c r="V22" i="3"/>
  <c r="U22" i="3"/>
  <c r="T22" i="3"/>
  <c r="T32" i="3" s="1"/>
  <c r="S22" i="3"/>
  <c r="S32" i="3" s="1"/>
  <c r="X21" i="3"/>
  <c r="X31" i="3" s="1"/>
  <c r="W21" i="3"/>
  <c r="W31" i="3" s="1"/>
  <c r="V21" i="3"/>
  <c r="V31" i="3" s="1"/>
  <c r="U21" i="3"/>
  <c r="U31" i="3" s="1"/>
  <c r="T21" i="3"/>
  <c r="S21" i="3"/>
  <c r="X20" i="3"/>
  <c r="X30" i="3" s="1"/>
  <c r="W20" i="3"/>
  <c r="W30" i="3" s="1"/>
  <c r="V20" i="3"/>
  <c r="V30" i="3" s="1"/>
  <c r="U20" i="3"/>
  <c r="U30" i="3" s="1"/>
  <c r="T20" i="3"/>
  <c r="T30" i="3" s="1"/>
  <c r="S20" i="3"/>
  <c r="AA20" i="3" s="1"/>
  <c r="AA19" i="3"/>
  <c r="X19" i="3"/>
  <c r="W19" i="3"/>
  <c r="V19" i="3"/>
  <c r="U19" i="3"/>
  <c r="T19" i="3"/>
  <c r="T29" i="3" s="1"/>
  <c r="S19" i="3"/>
  <c r="Z19" i="3" s="1"/>
  <c r="AA18" i="3"/>
  <c r="Z18" i="3"/>
  <c r="Y18" i="3"/>
  <c r="X18" i="3"/>
  <c r="X28" i="3" s="1"/>
  <c r="W18" i="3"/>
  <c r="V18" i="3"/>
  <c r="U18" i="3"/>
  <c r="T18" i="3"/>
  <c r="S18" i="3"/>
  <c r="K14" i="3" a="1"/>
  <c r="K19" i="3" s="1"/>
  <c r="G20" i="3"/>
  <c r="G19" i="3"/>
  <c r="G18" i="3"/>
  <c r="G15" i="3"/>
  <c r="G14" i="3" a="1"/>
  <c r="G17" i="3" s="1"/>
  <c r="F14" i="3" a="1"/>
  <c r="F18" i="3" s="1"/>
  <c r="E14" i="3" a="1"/>
  <c r="E19" i="3" s="1"/>
  <c r="E14" i="3"/>
  <c r="D20" i="3"/>
  <c r="D19" i="3"/>
  <c r="D18" i="3"/>
  <c r="D15" i="3"/>
  <c r="D14" i="3" a="1"/>
  <c r="D17" i="3" s="1"/>
  <c r="C14" i="3" a="1"/>
  <c r="C16" i="3" s="1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J14" i="3" s="1" a="1"/>
  <c r="K4" i="3"/>
  <c r="K20" i="5" l="1"/>
  <c r="K19" i="5"/>
  <c r="K18" i="5"/>
  <c r="K17" i="5"/>
  <c r="K16" i="5"/>
  <c r="K15" i="5"/>
  <c r="K14" i="5"/>
  <c r="J14" i="3"/>
  <c r="J15" i="3"/>
  <c r="J20" i="3"/>
  <c r="J19" i="3"/>
  <c r="J18" i="3"/>
  <c r="J16" i="3"/>
  <c r="J17" i="3"/>
  <c r="K20" i="6"/>
  <c r="K19" i="6"/>
  <c r="K18" i="6"/>
  <c r="K17" i="6"/>
  <c r="K16" i="6"/>
  <c r="K15" i="6"/>
  <c r="K14" i="6"/>
  <c r="Y32" i="3"/>
  <c r="J20" i="4"/>
  <c r="J19" i="4"/>
  <c r="J18" i="4"/>
  <c r="J17" i="4"/>
  <c r="J16" i="4"/>
  <c r="J15" i="4"/>
  <c r="J14" i="4"/>
  <c r="Y31" i="3"/>
  <c r="J17" i="6"/>
  <c r="J16" i="6"/>
  <c r="J15" i="6"/>
  <c r="J14" i="6"/>
  <c r="J20" i="6"/>
  <c r="J19" i="6"/>
  <c r="J18" i="6"/>
  <c r="Y34" i="3"/>
  <c r="K15" i="4"/>
  <c r="K14" i="4"/>
  <c r="K20" i="4"/>
  <c r="K19" i="4"/>
  <c r="K18" i="4"/>
  <c r="K17" i="4"/>
  <c r="K16" i="4"/>
  <c r="J16" i="7"/>
  <c r="J15" i="7"/>
  <c r="J14" i="7"/>
  <c r="J20" i="7"/>
  <c r="J19" i="7"/>
  <c r="J18" i="7"/>
  <c r="J17" i="7"/>
  <c r="J18" i="5"/>
  <c r="J17" i="5"/>
  <c r="J16" i="5"/>
  <c r="J15" i="5"/>
  <c r="J14" i="5"/>
  <c r="J20" i="5"/>
  <c r="J19" i="5"/>
  <c r="K20" i="7"/>
  <c r="K19" i="7"/>
  <c r="K18" i="7"/>
  <c r="K17" i="7"/>
  <c r="K16" i="7"/>
  <c r="K15" i="7"/>
  <c r="K14" i="7"/>
  <c r="F15" i="3"/>
  <c r="D14" i="3"/>
  <c r="E17" i="3"/>
  <c r="G14" i="3"/>
  <c r="Y20" i="3"/>
  <c r="Y24" i="3"/>
  <c r="M37" i="3"/>
  <c r="C16" i="4"/>
  <c r="D20" i="4"/>
  <c r="F16" i="4"/>
  <c r="G20" i="4"/>
  <c r="Z18" i="4"/>
  <c r="Z22" i="4"/>
  <c r="S28" i="4"/>
  <c r="Y28" i="4" s="1"/>
  <c r="S31" i="4"/>
  <c r="Y31" i="4" s="1"/>
  <c r="D14" i="7"/>
  <c r="E17" i="7"/>
  <c r="G14" i="7"/>
  <c r="C20" i="3"/>
  <c r="E16" i="3"/>
  <c r="F20" i="3"/>
  <c r="K20" i="3"/>
  <c r="AA21" i="3"/>
  <c r="S30" i="3"/>
  <c r="Y30" i="3" s="1"/>
  <c r="S33" i="3"/>
  <c r="Y33" i="3" s="1"/>
  <c r="M38" i="3"/>
  <c r="E18" i="3"/>
  <c r="Z20" i="3"/>
  <c r="Z24" i="3"/>
  <c r="C17" i="4"/>
  <c r="E14" i="4"/>
  <c r="F17" i="4"/>
  <c r="AA18" i="4"/>
  <c r="AA22" i="4"/>
  <c r="C15" i="3"/>
  <c r="C17" i="3"/>
  <c r="F17" i="3"/>
  <c r="K17" i="3"/>
  <c r="C18" i="3"/>
  <c r="AA24" i="3"/>
  <c r="Y21" i="4"/>
  <c r="U34" i="4"/>
  <c r="Y34" i="4" s="1"/>
  <c r="C14" i="5"/>
  <c r="D17" i="5"/>
  <c r="F14" i="5"/>
  <c r="G17" i="5"/>
  <c r="D16" i="6"/>
  <c r="E20" i="6"/>
  <c r="G16" i="6"/>
  <c r="D15" i="7"/>
  <c r="E19" i="7"/>
  <c r="G15" i="7"/>
  <c r="Z21" i="3"/>
  <c r="C18" i="4"/>
  <c r="F18" i="4"/>
  <c r="D16" i="3"/>
  <c r="E20" i="3"/>
  <c r="G16" i="3"/>
  <c r="Y23" i="3"/>
  <c r="S29" i="3"/>
  <c r="Y29" i="3" s="1"/>
  <c r="C19" i="4"/>
  <c r="E15" i="4"/>
  <c r="F19" i="4"/>
  <c r="Z21" i="4"/>
  <c r="V34" i="4"/>
  <c r="D18" i="5"/>
  <c r="G18" i="5"/>
  <c r="C14" i="6"/>
  <c r="D17" i="6"/>
  <c r="F14" i="6"/>
  <c r="G17" i="6"/>
  <c r="D16" i="7"/>
  <c r="E20" i="7"/>
  <c r="G16" i="7"/>
  <c r="C19" i="3"/>
  <c r="E15" i="3"/>
  <c r="F19" i="3"/>
  <c r="Y19" i="3"/>
  <c r="C14" i="3"/>
  <c r="F14" i="3"/>
  <c r="K14" i="3"/>
  <c r="C20" i="4"/>
  <c r="E16" i="4"/>
  <c r="F20" i="4"/>
  <c r="S30" i="4"/>
  <c r="Y30" i="4" s="1"/>
  <c r="S33" i="4"/>
  <c r="Y33" i="4" s="1"/>
  <c r="C15" i="5"/>
  <c r="D18" i="6"/>
  <c r="G18" i="6"/>
  <c r="C14" i="7"/>
  <c r="D17" i="7"/>
  <c r="F14" i="7"/>
  <c r="G17" i="7"/>
  <c r="D14" i="4"/>
  <c r="E17" i="4"/>
  <c r="G14" i="4"/>
  <c r="D18" i="7"/>
  <c r="G18" i="7"/>
  <c r="E18" i="4"/>
  <c r="C17" i="5"/>
  <c r="E14" i="5"/>
  <c r="F17" i="5"/>
  <c r="C16" i="6"/>
  <c r="D20" i="6"/>
  <c r="F16" i="6"/>
  <c r="G20" i="6"/>
  <c r="C15" i="7"/>
  <c r="D19" i="7"/>
  <c r="F15" i="7"/>
  <c r="G19" i="7"/>
  <c r="F16" i="3"/>
  <c r="K16" i="3"/>
  <c r="D15" i="4"/>
  <c r="E19" i="4"/>
  <c r="G15" i="4"/>
  <c r="C18" i="5"/>
  <c r="C17" i="6"/>
  <c r="E14" i="6"/>
  <c r="F17" i="6"/>
  <c r="C16" i="7"/>
  <c r="F16" i="7"/>
  <c r="D16" i="4"/>
  <c r="G16" i="4"/>
  <c r="Y23" i="4"/>
  <c r="S29" i="4"/>
  <c r="Y29" i="4" s="1"/>
  <c r="S32" i="4"/>
  <c r="Y32" i="4" s="1"/>
  <c r="C19" i="5"/>
  <c r="C18" i="6"/>
  <c r="F18" i="6"/>
  <c r="C17" i="7"/>
  <c r="E14" i="7"/>
  <c r="F17" i="7"/>
  <c r="K15" i="3"/>
  <c r="K18" i="3"/>
  <c r="Y21" i="3"/>
  <c r="C14" i="4"/>
  <c r="D17" i="4"/>
  <c r="F14" i="4"/>
  <c r="G17" i="4"/>
  <c r="C19" i="6"/>
  <c r="C18" i="7"/>
  <c r="F18" i="7"/>
  <c r="G18" i="4"/>
  <c r="E17" i="5"/>
  <c r="E16" i="6"/>
  <c r="C19" i="7"/>
  <c r="E15" i="7"/>
  <c r="F19" i="7"/>
  <c r="C47" i="3" l="1"/>
  <c r="B47" i="3" s="1"/>
  <c r="M44" i="3"/>
</calcChain>
</file>

<file path=xl/sharedStrings.xml><?xml version="1.0" encoding="utf-8"?>
<sst xmlns="http://schemas.openxmlformats.org/spreadsheetml/2006/main" count="556" uniqueCount="101">
  <si>
    <t>Supplier</t>
  </si>
  <si>
    <t>Environmental Risk</t>
  </si>
  <si>
    <t>Social Risk</t>
  </si>
  <si>
    <t>Cost Score</t>
  </si>
  <si>
    <t>Strategic Importance</t>
  </si>
  <si>
    <t>Improvement Potential</t>
  </si>
  <si>
    <t>Child Labor</t>
  </si>
  <si>
    <t>Banned Chemicals</t>
  </si>
  <si>
    <t>Low Product Quality</t>
  </si>
  <si>
    <t>Total Score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</si>
  <si>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</si>
  <si>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</si>
  <si>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</si>
  <si>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</si>
  <si>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</si>
  <si>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</si>
  <si>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</si>
  <si>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</si>
  <si>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</si>
  <si>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</si>
  <si>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</si>
  <si>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</si>
  <si>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</si>
  <si>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</si>
  <si>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</si>
  <si>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</si>
  <si>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</si>
  <si>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</si>
  <si>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Users</t>
  </si>
  <si>
    <t>Utility Function</t>
  </si>
  <si>
    <t>0,062x1+ 0,260x2+ 0,435x3+ 0,107x4+ 0,102x5+ -0,256x6</t>
  </si>
  <si>
    <t>0,126x1+ 0,073x2+ 0,148x3+ 0,291x4+ 0,108x5+ -0,114x6</t>
  </si>
  <si>
    <t>0,061x1+ 0,067x2+ 0,365x3+ 0,129x4+ 0,125x5+ -0,216x6</t>
  </si>
  <si>
    <t>0,192x1+ 0,097x2+ 0,117x3+ 0,107x4+ 0,102x5+ -0,279x6</t>
  </si>
  <si>
    <t>0,297x1+ 0,091x2+ 0,610x3+ 0,189x4+ 0,102x5+ -0,296x6</t>
  </si>
  <si>
    <t>0,064x1+ 0,155x2+ 0,395x3+ 0,170x4+ 0,102x5+ -0,293x6</t>
  </si>
  <si>
    <t>0,104x1+ 0,190x2+ 0,240x3+ 0,278x4+ 0,119x5+ -0,104x6</t>
  </si>
  <si>
    <t>0,120x1+ 0,161x2+ 0,449x3+ 0,170x4+ 0,275x5+ -0,168x6</t>
  </si>
  <si>
    <t>0,122x1+ 0,170x2+ 0,289x3+ 0,249x4+ 0,251x5+ -0,170x6</t>
  </si>
  <si>
    <t>0,057x1+ 0,144x2+ 0,117x3+ 0,183x4+ 0,102x5+ -0,108x6</t>
  </si>
  <si>
    <t>0,061x1+ 0,107x2+ 0,117x3+ 0,291x4+ 0,102x5+ -0,110x6</t>
  </si>
  <si>
    <t>0,195x1+ 0,073x2+ 0,117x3+ 0,319x4+ 0,102x5+ -0,101x6</t>
  </si>
  <si>
    <t>0,051x1+ 0,255x2+ 0,610x3+ 0,248x4+ 0,288x5+ -0,264x6</t>
  </si>
  <si>
    <t>0,282x1+ 0,073x2+ 0,117x3+ 0,103x4+ 0,113x5+ -0,102x6</t>
  </si>
  <si>
    <t>0,257x1+ 0,255x2+ 0,171x3+ 0,242x4+ 0,102x5+ -0,104x6</t>
  </si>
  <si>
    <t>0,105x1+ 0,267x2+ 0,424x3+ 0,107x4+ 0,102x5+ -0,104x6</t>
  </si>
  <si>
    <t>0,085x1+ 0,122x2+ 0,435x3+ 0,324x4+ 0,102x5+ -0,138x6</t>
  </si>
  <si>
    <t>0,281x1+ 0,054x2+ 0,612x3+ 0,107x4+ 0,153x5+ -0,104x6</t>
  </si>
  <si>
    <t>0,118x1+ 0,205x2+ 0,117x3+ 0,107x4+ 0,102x5+ -0,271x6</t>
  </si>
  <si>
    <t>0,282x1+ 0,065x2+ 0,584x3+ 0,286x4+ 0,167x5+ -0,160x6</t>
  </si>
  <si>
    <t>Q1. Equal Weights</t>
  </si>
  <si>
    <t>Q2. Different Weights</t>
  </si>
  <si>
    <t>Q1. Min Cost&amp; Enve&amp;Social Risk</t>
  </si>
  <si>
    <t xml:space="preserve">Q2. Max Improvement </t>
  </si>
  <si>
    <t>Rank</t>
  </si>
  <si>
    <t>Q1</t>
  </si>
  <si>
    <t>Q2</t>
  </si>
  <si>
    <t>Q3</t>
  </si>
  <si>
    <t>Min Cost + Enve&amp;Social Risk</t>
  </si>
  <si>
    <t>Min Cost + Max Improvement</t>
  </si>
  <si>
    <t>Min Cost/No Quality Issues</t>
  </si>
  <si>
    <t>Policy</t>
  </si>
  <si>
    <t>Supplier 1</t>
  </si>
  <si>
    <t>Supplier 2</t>
  </si>
  <si>
    <t>quality issues</t>
  </si>
  <si>
    <t>Supplier 3</t>
  </si>
  <si>
    <t>Supplier 4</t>
  </si>
  <si>
    <t>Supplier 5</t>
  </si>
  <si>
    <t>Supplier 6</t>
  </si>
  <si>
    <t>Supplier 7</t>
  </si>
  <si>
    <t>Selected Ones</t>
  </si>
  <si>
    <t>C &amp; G</t>
  </si>
  <si>
    <t>C &amp; D</t>
  </si>
  <si>
    <t>A &amp; F</t>
  </si>
  <si>
    <t>Effective Cost</t>
  </si>
  <si>
    <t>Supplier/User</t>
  </si>
  <si>
    <t>Total</t>
  </si>
  <si>
    <t>User Utilities</t>
  </si>
  <si>
    <t>Best Utility Supplier</t>
  </si>
  <si>
    <t>Selling Price</t>
  </si>
  <si>
    <t>Min Cost Supplier</t>
  </si>
  <si>
    <t>Total Cost</t>
  </si>
  <si>
    <t>Model</t>
  </si>
  <si>
    <t>Objective</t>
  </si>
  <si>
    <t xml:space="preserve">Number of Matches </t>
  </si>
  <si>
    <t>Utility Threshold</t>
  </si>
  <si>
    <t>Penalty1</t>
  </si>
  <si>
    <t>Penalty2</t>
  </si>
  <si>
    <t>Notes</t>
  </si>
  <si>
    <t>Ideal supplier.</t>
  </si>
  <si>
    <t>Good supplier with no compliance issues, but too costly.</t>
  </si>
  <si>
    <t>Need to add requirements for child labor.</t>
  </si>
  <si>
    <t>Need to add requirements for banned chemicals.</t>
  </si>
  <si>
    <t>E/B</t>
  </si>
  <si>
    <t>Can choose work on quality problems instead of A or C.</t>
  </si>
  <si>
    <t>High risk and suspected both child labor and banned chemicals.</t>
  </si>
  <si>
    <t>Price Sensitivity</t>
  </si>
  <si>
    <t>Category</t>
  </si>
  <si>
    <t>keyboard</t>
  </si>
  <si>
    <t>camera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</si>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</sst>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FF0000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10" borderId="4" xfId="0" applyFont="1" applyFill="1" applyBorder="1"/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8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2" fillId="0" borderId="4" xfId="0" applyFont="1" applyBorder="1"/>
    <xf numFmtId="0" fontId="2" fillId="0" borderId="1" xfId="0" applyFont="1" applyBorder="1"/>
    <xf numFmtId="2" fontId="0" fillId="0" borderId="1" xfId="0" applyNumberFormat="1" applyBorder="1"/>
    <xf numFmtId="0" fontId="4" fillId="0" borderId="4" xfId="0" applyFont="1" applyBorder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4" fillId="11" borderId="1" xfId="0" applyFont="1" applyFill="1" applyBorder="1"/>
    <xf numFmtId="0" fontId="7" fillId="13" borderId="1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8" fillId="12" borderId="1" xfId="0" applyFont="1" applyFill="1" applyBorder="1"/>
    <xf numFmtId="0" fontId="5" fillId="2" borderId="0" xfId="0" applyFont="1" applyFill="1" applyAlignment="1">
      <alignment horizontal="center"/>
    </xf>
    <xf numFmtId="0" fontId="0" fillId="10" borderId="4" xfId="0" applyFill="1" applyBorder="1"/>
    <xf numFmtId="0" fontId="2" fillId="6" borderId="1" xfId="0" applyFont="1" applyFill="1" applyBorder="1"/>
    <xf numFmtId="0" fontId="2" fillId="11" borderId="1" xfId="0" applyFont="1" applyFill="1" applyBorder="1"/>
    <xf numFmtId="0" fontId="9" fillId="2" borderId="0" xfId="0" applyFont="1" applyFill="1" applyAlignment="1">
      <alignment horizontal="center"/>
    </xf>
    <xf numFmtId="0" fontId="0" fillId="12" borderId="1" xfId="0" applyFill="1" applyBorder="1"/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0" fillId="7" borderId="0" xfId="0" applyFill="1"/>
    <xf numFmtId="0" fontId="1" fillId="2" borderId="2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/>
    <xf numFmtId="0" fontId="0" fillId="14" borderId="0" xfId="0" applyFill="1"/>
    <xf numFmtId="164" fontId="0" fillId="14" borderId="0" xfId="0" applyNumberFormat="1" applyFill="1"/>
    <xf numFmtId="1" fontId="0" fillId="14" borderId="0" xfId="0" applyNumberFormat="1" applyFill="1"/>
    <xf numFmtId="0" fontId="5" fillId="15" borderId="1" xfId="0" applyFont="1" applyFill="1" applyBorder="1" applyAlignment="1">
      <alignment horizontal="center" vertical="center" wrapText="1"/>
    </xf>
    <xf numFmtId="164" fontId="0" fillId="15" borderId="1" xfId="0" applyNumberFormat="1" applyFill="1" applyBorder="1" applyAlignment="1">
      <alignment horizontal="center"/>
    </xf>
    <xf numFmtId="0" fontId="0" fillId="15" borderId="0" xfId="0" applyFill="1"/>
    <xf numFmtId="0" fontId="0" fillId="16" borderId="0" xfId="0" applyFill="1"/>
    <xf numFmtId="1" fontId="0" fillId="16" borderId="0" xfId="0" applyNumberFormat="1" applyFill="1"/>
    <xf numFmtId="0" fontId="5" fillId="14" borderId="1" xfId="0" applyFont="1" applyFill="1" applyBorder="1" applyAlignment="1">
      <alignment horizontal="center" vertical="center" wrapText="1"/>
    </xf>
    <xf numFmtId="164" fontId="0" fillId="14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5" fillId="2" borderId="6" xfId="0" applyFont="1" applyFill="1" applyBorder="1" applyAlignment="1">
      <alignment horizontal="center" vertical="center" wrapText="1"/>
    </xf>
    <xf numFmtId="0" fontId="0" fillId="0" borderId="10" xfId="0" applyBorder="1"/>
    <xf numFmtId="0" fontId="5" fillId="2" borderId="5" xfId="0" applyFont="1" applyFill="1" applyBorder="1" applyAlignment="1">
      <alignment horizontal="center" vertical="center" wrapText="1"/>
    </xf>
    <xf numFmtId="0" fontId="0" fillId="0" borderId="9" xfId="0" applyBorder="1"/>
    <xf numFmtId="0" fontId="5" fillId="2" borderId="7" xfId="0" applyFont="1" applyFill="1" applyBorder="1" applyAlignment="1">
      <alignment horizontal="center" vertical="center" wrapText="1"/>
    </xf>
    <xf numFmtId="0" fontId="0" fillId="0" borderId="11" xfId="0" applyBorder="1"/>
    <xf numFmtId="0" fontId="0" fillId="4" borderId="1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0" borderId="0" xfId="0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E4" sqref="E4"/>
    </sheetView>
  </sheetViews>
  <sheetFormatPr defaultRowHeight="14.4" x14ac:dyDescent="0.3"/>
  <cols>
    <col min="5" max="5" width="18.21875" bestFit="1" customWidth="1"/>
    <col min="6" max="6" width="20" style="56" bestFit="1" customWidth="1"/>
    <col min="7" max="8" width="8.88671875" style="62"/>
    <col min="9" max="9" width="8.88671875" style="56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56" t="s">
        <v>5</v>
      </c>
      <c r="G1" s="62" t="s">
        <v>6</v>
      </c>
      <c r="H1" s="62" t="s">
        <v>7</v>
      </c>
      <c r="I1" s="56" t="s">
        <v>8</v>
      </c>
      <c r="J1" t="s">
        <v>9</v>
      </c>
      <c r="K1" t="s">
        <v>97</v>
      </c>
    </row>
    <row r="2" spans="1:11" x14ac:dyDescent="0.3">
      <c r="A2" t="s">
        <v>10</v>
      </c>
      <c r="B2" s="55">
        <v>2.2120000000000002</v>
      </c>
      <c r="C2" s="55">
        <v>3.371</v>
      </c>
      <c r="D2" s="55">
        <v>2.4569999999999999</v>
      </c>
      <c r="E2" s="55">
        <v>1.9430000000000001</v>
      </c>
      <c r="F2" s="57">
        <v>3</v>
      </c>
      <c r="G2" s="63">
        <v>0</v>
      </c>
      <c r="H2" s="63">
        <v>1</v>
      </c>
      <c r="I2" s="58">
        <v>1</v>
      </c>
      <c r="J2" s="55">
        <v>13.183999999999999</v>
      </c>
      <c r="K2" t="s">
        <v>99</v>
      </c>
    </row>
    <row r="3" spans="1:11" x14ac:dyDescent="0.3">
      <c r="A3" t="s">
        <v>11</v>
      </c>
      <c r="B3" s="55">
        <v>3.056</v>
      </c>
      <c r="C3" s="55">
        <v>0.63</v>
      </c>
      <c r="D3" s="55">
        <v>4.8390000000000004</v>
      </c>
      <c r="E3" s="55">
        <v>1.0640000000000001</v>
      </c>
      <c r="F3" s="57">
        <v>4</v>
      </c>
      <c r="G3" s="63">
        <v>0</v>
      </c>
      <c r="H3" s="63">
        <v>0</v>
      </c>
      <c r="I3" s="58">
        <v>0</v>
      </c>
      <c r="J3" s="55">
        <v>15.289</v>
      </c>
      <c r="K3" t="s">
        <v>98</v>
      </c>
    </row>
    <row r="4" spans="1:11" x14ac:dyDescent="0.3">
      <c r="A4" t="s">
        <v>12</v>
      </c>
      <c r="B4" s="55">
        <v>2.2349999999999999</v>
      </c>
      <c r="C4" s="55">
        <v>4.3710000000000004</v>
      </c>
      <c r="D4" s="55">
        <v>2.3380000000000001</v>
      </c>
      <c r="E4" s="55">
        <v>2.4159999999999999</v>
      </c>
      <c r="F4" s="57">
        <v>1.0980000000000001</v>
      </c>
      <c r="G4" s="63">
        <v>0</v>
      </c>
      <c r="H4" s="63">
        <v>0</v>
      </c>
      <c r="I4" s="58">
        <v>0</v>
      </c>
      <c r="J4" s="55">
        <v>18.82</v>
      </c>
      <c r="K4" t="s">
        <v>100</v>
      </c>
    </row>
    <row r="5" spans="1:11" x14ac:dyDescent="0.3">
      <c r="A5" t="s">
        <v>13</v>
      </c>
      <c r="B5" s="55">
        <v>1.7909999999999999</v>
      </c>
      <c r="C5" s="55">
        <v>1.629</v>
      </c>
      <c r="D5" s="55">
        <v>2.6219999999999999</v>
      </c>
      <c r="E5" s="55">
        <v>1.01</v>
      </c>
      <c r="F5" s="57">
        <v>2.823</v>
      </c>
      <c r="G5" s="63">
        <v>0</v>
      </c>
      <c r="H5" s="63">
        <v>1</v>
      </c>
      <c r="I5" s="58">
        <v>0</v>
      </c>
      <c r="J5" s="55">
        <v>10.851000000000001</v>
      </c>
      <c r="K5" t="s">
        <v>99</v>
      </c>
    </row>
    <row r="6" spans="1:11" x14ac:dyDescent="0.3">
      <c r="A6" t="s">
        <v>14</v>
      </c>
      <c r="B6" s="55">
        <v>1.7050000000000001</v>
      </c>
      <c r="C6" s="55">
        <v>3.371</v>
      </c>
      <c r="D6" s="55">
        <v>2.9670000000000001</v>
      </c>
      <c r="E6" s="55">
        <v>2.0790000000000002</v>
      </c>
      <c r="F6" s="57">
        <v>5</v>
      </c>
      <c r="G6" s="63">
        <v>0</v>
      </c>
      <c r="H6" s="63">
        <v>1</v>
      </c>
      <c r="I6" s="58">
        <v>1</v>
      </c>
      <c r="J6" s="55">
        <v>16.122</v>
      </c>
      <c r="K6" t="s">
        <v>98</v>
      </c>
    </row>
    <row r="7" spans="1:11" x14ac:dyDescent="0.3">
      <c r="A7" t="s">
        <v>15</v>
      </c>
      <c r="B7" s="55">
        <v>1.147</v>
      </c>
      <c r="C7" s="55">
        <v>3.887</v>
      </c>
      <c r="D7" s="55">
        <v>2.8980000000000001</v>
      </c>
      <c r="E7" s="55">
        <v>1.9950000000000001</v>
      </c>
      <c r="F7" s="57">
        <v>3.234</v>
      </c>
      <c r="G7" s="63">
        <v>1</v>
      </c>
      <c r="H7" s="63">
        <v>0</v>
      </c>
      <c r="I7" s="58">
        <v>0</v>
      </c>
      <c r="J7" s="55">
        <v>14.927</v>
      </c>
      <c r="K7" t="s">
        <v>100</v>
      </c>
    </row>
    <row r="8" spans="1:11" x14ac:dyDescent="0.3">
      <c r="A8" t="s">
        <v>16</v>
      </c>
      <c r="B8" s="55">
        <v>2.7050000000000001</v>
      </c>
      <c r="C8" s="55">
        <v>2.927</v>
      </c>
      <c r="D8" s="55">
        <v>2.222</v>
      </c>
      <c r="E8" s="55">
        <v>1.796</v>
      </c>
      <c r="F8" s="57">
        <v>4.7770000000000001</v>
      </c>
      <c r="G8" s="63">
        <v>0</v>
      </c>
      <c r="H8" s="63">
        <v>1</v>
      </c>
      <c r="I8" s="58">
        <v>0</v>
      </c>
      <c r="J8" s="55">
        <v>12.97</v>
      </c>
      <c r="K8" t="s">
        <v>99</v>
      </c>
    </row>
    <row r="9" spans="1:11" x14ac:dyDescent="0.3">
      <c r="A9" t="s">
        <v>17</v>
      </c>
      <c r="B9" s="55">
        <v>1.208</v>
      </c>
      <c r="C9" s="55">
        <v>4.8710000000000004</v>
      </c>
      <c r="D9" s="55">
        <v>1.069</v>
      </c>
      <c r="E9" s="55">
        <v>2.516</v>
      </c>
      <c r="F9" s="57">
        <v>3.234</v>
      </c>
      <c r="G9" s="63">
        <v>1</v>
      </c>
      <c r="H9" s="63">
        <v>0</v>
      </c>
      <c r="I9" s="58">
        <v>0</v>
      </c>
      <c r="J9" s="55">
        <v>14.163</v>
      </c>
      <c r="K9" t="s">
        <v>98</v>
      </c>
    </row>
    <row r="10" spans="1:11" x14ac:dyDescent="0.3">
      <c r="A10" t="s">
        <v>18</v>
      </c>
      <c r="B10" s="55">
        <v>1.2490000000000001</v>
      </c>
      <c r="C10" s="55">
        <v>3.6179999999999999</v>
      </c>
      <c r="D10" s="55">
        <v>3.0640000000000001</v>
      </c>
      <c r="E10" s="55">
        <v>2.323</v>
      </c>
      <c r="F10" s="57">
        <v>4.0999999999999996</v>
      </c>
      <c r="G10" s="63">
        <v>0</v>
      </c>
      <c r="H10" s="63">
        <v>0</v>
      </c>
      <c r="I10" s="58">
        <v>0</v>
      </c>
      <c r="J10" s="55">
        <v>10.255000000000001</v>
      </c>
      <c r="K10" t="s">
        <v>100</v>
      </c>
    </row>
    <row r="11" spans="1:11" x14ac:dyDescent="0.3">
      <c r="A11" t="s">
        <v>19</v>
      </c>
      <c r="B11" s="55">
        <v>3.556</v>
      </c>
      <c r="C11" s="55">
        <v>1.008</v>
      </c>
      <c r="D11" s="55">
        <v>2.6219999999999999</v>
      </c>
      <c r="E11" s="55">
        <v>4.6269999999999998</v>
      </c>
      <c r="F11" s="57">
        <v>3.21</v>
      </c>
      <c r="G11" s="63">
        <v>1</v>
      </c>
      <c r="H11" s="63">
        <v>1</v>
      </c>
      <c r="I11" s="58">
        <v>0</v>
      </c>
      <c r="J11" s="55">
        <v>14.522</v>
      </c>
      <c r="K11" t="s">
        <v>99</v>
      </c>
    </row>
    <row r="12" spans="1:11" x14ac:dyDescent="0.3">
      <c r="A12" t="s">
        <v>20</v>
      </c>
      <c r="B12" s="55">
        <v>4.056</v>
      </c>
      <c r="C12" s="55">
        <v>2.589</v>
      </c>
      <c r="D12" s="55">
        <v>2.3079999999999998</v>
      </c>
      <c r="E12" s="55">
        <v>1.861</v>
      </c>
      <c r="F12" s="57">
        <v>1.19</v>
      </c>
      <c r="G12" s="63">
        <v>1</v>
      </c>
      <c r="H12" s="63">
        <v>1</v>
      </c>
      <c r="I12" s="58">
        <v>1</v>
      </c>
      <c r="J12" s="55">
        <v>13.813000000000001</v>
      </c>
      <c r="K12" t="s">
        <v>98</v>
      </c>
    </row>
    <row r="13" spans="1:11" x14ac:dyDescent="0.3">
      <c r="A13" t="s">
        <v>21</v>
      </c>
      <c r="B13" s="55">
        <v>4.056</v>
      </c>
      <c r="C13" s="55">
        <v>1.6279999999999999</v>
      </c>
      <c r="D13" s="55">
        <v>1.458</v>
      </c>
      <c r="E13" s="55">
        <v>3.0529999999999999</v>
      </c>
      <c r="F13" s="57">
        <v>1.234</v>
      </c>
      <c r="G13" s="63">
        <v>0</v>
      </c>
      <c r="H13" s="63">
        <v>1</v>
      </c>
      <c r="I13" s="58">
        <v>1</v>
      </c>
      <c r="J13" s="55">
        <v>11.195</v>
      </c>
      <c r="K13" t="s">
        <v>100</v>
      </c>
    </row>
    <row r="14" spans="1:11" x14ac:dyDescent="0.3">
      <c r="A14" t="s">
        <v>22</v>
      </c>
      <c r="B14" s="55">
        <v>1.014</v>
      </c>
      <c r="C14" s="55">
        <v>4.3710000000000004</v>
      </c>
      <c r="D14" s="55">
        <v>2.1389999999999998</v>
      </c>
      <c r="E14" s="55">
        <v>1.657</v>
      </c>
      <c r="F14" s="57">
        <v>4.12</v>
      </c>
      <c r="G14" s="63">
        <v>0</v>
      </c>
      <c r="H14" s="63">
        <v>0</v>
      </c>
      <c r="I14" s="58">
        <v>1</v>
      </c>
      <c r="J14" s="55">
        <v>11.151</v>
      </c>
      <c r="K14" t="s">
        <v>99</v>
      </c>
    </row>
    <row r="15" spans="1:11" x14ac:dyDescent="0.3">
      <c r="A15" t="s">
        <v>23</v>
      </c>
      <c r="B15" s="55">
        <v>1.5780000000000001</v>
      </c>
      <c r="C15" s="55">
        <v>1.006</v>
      </c>
      <c r="D15" s="55">
        <v>4.9989999999999997</v>
      </c>
      <c r="E15" s="55">
        <v>1.3029999999999999</v>
      </c>
      <c r="F15" s="57">
        <v>2</v>
      </c>
      <c r="G15" s="63">
        <v>1</v>
      </c>
      <c r="H15" s="63">
        <v>0</v>
      </c>
      <c r="I15" s="58">
        <v>0</v>
      </c>
      <c r="J15" s="55">
        <v>12.885</v>
      </c>
      <c r="K15" t="s">
        <v>98</v>
      </c>
    </row>
    <row r="16" spans="1:11" x14ac:dyDescent="0.3">
      <c r="A16" t="s">
        <v>24</v>
      </c>
      <c r="B16" s="55">
        <v>1.4790000000000001</v>
      </c>
      <c r="C16" s="55">
        <v>4.3710000000000004</v>
      </c>
      <c r="D16" s="55">
        <v>2.1509999999999998</v>
      </c>
      <c r="E16" s="55">
        <v>1.405</v>
      </c>
      <c r="F16" s="57">
        <v>4.4000000000000004</v>
      </c>
      <c r="G16" s="63">
        <v>1</v>
      </c>
      <c r="H16" s="63">
        <v>0</v>
      </c>
      <c r="I16" s="58">
        <v>0</v>
      </c>
      <c r="J16" s="55">
        <v>13.406000000000001</v>
      </c>
      <c r="K16" t="s">
        <v>100</v>
      </c>
    </row>
    <row r="17" spans="1:11" x14ac:dyDescent="0.3">
      <c r="A17" t="s">
        <v>25</v>
      </c>
      <c r="B17" s="55">
        <v>2.4550000000000001</v>
      </c>
      <c r="C17" s="55">
        <v>1.577</v>
      </c>
      <c r="D17" s="55">
        <v>1.133</v>
      </c>
      <c r="E17" s="55">
        <v>3.6720000000000002</v>
      </c>
      <c r="F17" s="57">
        <v>2</v>
      </c>
      <c r="G17" s="63">
        <v>0</v>
      </c>
      <c r="H17" s="63">
        <v>0</v>
      </c>
      <c r="I17" s="58">
        <v>1</v>
      </c>
      <c r="J17" s="55">
        <v>10.837999999999999</v>
      </c>
      <c r="K17" t="s">
        <v>99</v>
      </c>
    </row>
    <row r="18" spans="1:11" x14ac:dyDescent="0.3">
      <c r="A18" t="s">
        <v>26</v>
      </c>
      <c r="B18" s="55">
        <v>1.546</v>
      </c>
      <c r="C18" s="55">
        <v>4.9429999999999996</v>
      </c>
      <c r="D18" s="55">
        <v>2.8980000000000001</v>
      </c>
      <c r="E18" s="55">
        <v>1.806</v>
      </c>
      <c r="F18" s="57">
        <v>2.234</v>
      </c>
      <c r="G18" s="63">
        <v>1</v>
      </c>
      <c r="H18" s="63">
        <v>0</v>
      </c>
      <c r="I18" s="58">
        <v>1</v>
      </c>
      <c r="J18" s="55">
        <v>13.193</v>
      </c>
      <c r="K18" t="s">
        <v>98</v>
      </c>
    </row>
    <row r="19" spans="1:11" x14ac:dyDescent="0.3">
      <c r="A19" t="s">
        <v>27</v>
      </c>
      <c r="B19" s="55">
        <v>3.9540000000000002</v>
      </c>
      <c r="C19" s="55">
        <v>2.3E-2</v>
      </c>
      <c r="D19" s="55">
        <v>4.9640000000000004</v>
      </c>
      <c r="E19" s="55">
        <v>3.8740000000000001</v>
      </c>
      <c r="F19" s="57">
        <v>0.23400000000000001</v>
      </c>
      <c r="G19" s="63">
        <v>1</v>
      </c>
      <c r="H19" s="63">
        <v>0</v>
      </c>
      <c r="I19" s="58">
        <v>0</v>
      </c>
      <c r="J19" s="55">
        <v>19.715</v>
      </c>
      <c r="K19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selection activeCell="H13" sqref="H13"/>
    </sheetView>
  </sheetViews>
  <sheetFormatPr defaultRowHeight="14.4" x14ac:dyDescent="0.3"/>
  <cols>
    <col min="4" max="4" width="8.88671875" style="61"/>
    <col min="5" max="6" width="8.88671875" style="56"/>
    <col min="8" max="8" width="39.6640625" customWidth="1"/>
  </cols>
  <sheetData>
    <row r="1" spans="1:8" ht="33.15" customHeight="1" x14ac:dyDescent="0.3">
      <c r="A1" s="42" t="s">
        <v>28</v>
      </c>
      <c r="B1" s="15" t="s">
        <v>1</v>
      </c>
      <c r="C1" s="15" t="s">
        <v>2</v>
      </c>
      <c r="D1" s="59" t="s">
        <v>96</v>
      </c>
      <c r="E1" s="64" t="s">
        <v>4</v>
      </c>
      <c r="F1" s="64" t="s">
        <v>5</v>
      </c>
      <c r="G1" s="17" t="s">
        <v>8</v>
      </c>
      <c r="H1" s="15" t="s">
        <v>29</v>
      </c>
    </row>
    <row r="2" spans="1:8" x14ac:dyDescent="0.3">
      <c r="A2" s="43">
        <v>20</v>
      </c>
      <c r="B2" s="53">
        <v>0.19849199345865401</v>
      </c>
      <c r="C2" s="53">
        <v>0.2048960971299689</v>
      </c>
      <c r="D2" s="60">
        <v>9.7371468909865005E-2</v>
      </c>
      <c r="E2" s="65">
        <v>0.15672001947723799</v>
      </c>
      <c r="F2" s="65">
        <v>0.10155365833498819</v>
      </c>
      <c r="G2" s="54">
        <v>0.27114700608346642</v>
      </c>
      <c r="H2" s="1" t="s">
        <v>48</v>
      </c>
    </row>
    <row r="3" spans="1:8" x14ac:dyDescent="0.3">
      <c r="A3" s="43">
        <v>19</v>
      </c>
      <c r="B3" s="53">
        <v>0.28227114589511132</v>
      </c>
      <c r="C3" s="53">
        <v>0.27341827619398001</v>
      </c>
      <c r="D3" s="60">
        <v>0.117371468909865</v>
      </c>
      <c r="E3" s="65">
        <v>0.102500150077396</v>
      </c>
      <c r="F3" s="65">
        <v>0.1127673895923734</v>
      </c>
      <c r="G3" s="54">
        <v>0.1020081514064624</v>
      </c>
      <c r="H3" s="1" t="s">
        <v>43</v>
      </c>
    </row>
    <row r="4" spans="1:8" x14ac:dyDescent="0.3">
      <c r="A4" s="43">
        <v>18</v>
      </c>
      <c r="B4" s="53">
        <v>0.19511378053770029</v>
      </c>
      <c r="C4" s="53">
        <v>7.3418276193979989E-2</v>
      </c>
      <c r="D4" s="60">
        <v>0.13737146890986501</v>
      </c>
      <c r="E4" s="65">
        <v>0.31938813314298031</v>
      </c>
      <c r="F4" s="65">
        <v>0.10155365833498819</v>
      </c>
      <c r="G4" s="54">
        <v>0.100629661763317</v>
      </c>
      <c r="H4" s="1" t="s">
        <v>41</v>
      </c>
    </row>
    <row r="5" spans="1:8" x14ac:dyDescent="0.3">
      <c r="A5" s="43">
        <v>17</v>
      </c>
      <c r="B5" s="53">
        <v>6.067934013561796E-2</v>
      </c>
      <c r="C5" s="53">
        <v>0.10691631099167261</v>
      </c>
      <c r="D5" s="60">
        <v>0.17137146890986499</v>
      </c>
      <c r="E5" s="65">
        <v>0.29128321359242249</v>
      </c>
      <c r="F5" s="65">
        <v>0.23155365833498801</v>
      </c>
      <c r="G5" s="54">
        <v>0.1096077760804178</v>
      </c>
      <c r="H5" s="1" t="s">
        <v>40</v>
      </c>
    </row>
    <row r="6" spans="1:8" x14ac:dyDescent="0.3">
      <c r="A6" s="43">
        <v>16</v>
      </c>
      <c r="B6" s="53">
        <v>0.156765667715111</v>
      </c>
      <c r="C6" s="53">
        <v>0.243834865733492</v>
      </c>
      <c r="D6" s="60">
        <v>0.19145012390986499</v>
      </c>
      <c r="E6" s="65">
        <v>0.183331251224816</v>
      </c>
      <c r="F6" s="65">
        <v>0.20155365833498801</v>
      </c>
      <c r="G6" s="54">
        <v>0.10840881707564209</v>
      </c>
      <c r="H6" s="1" t="s">
        <v>39</v>
      </c>
    </row>
    <row r="7" spans="1:8" x14ac:dyDescent="0.3">
      <c r="A7" s="43">
        <v>15</v>
      </c>
      <c r="B7" s="53">
        <v>0.19188915259436859</v>
      </c>
      <c r="C7" s="53">
        <v>9.6546504644227593E-2</v>
      </c>
      <c r="D7" s="60">
        <v>0.21705211340986499</v>
      </c>
      <c r="E7" s="65">
        <v>0.1067200194772385</v>
      </c>
      <c r="F7" s="65">
        <v>0.10155365833498819</v>
      </c>
      <c r="G7" s="54">
        <v>0.27864380253183429</v>
      </c>
      <c r="H7" s="1" t="s">
        <v>33</v>
      </c>
    </row>
    <row r="8" spans="1:8" x14ac:dyDescent="0.3">
      <c r="A8" s="43">
        <v>14</v>
      </c>
      <c r="B8" s="53">
        <v>0.1262867946106227</v>
      </c>
      <c r="C8" s="53">
        <v>7.3418276193979989E-2</v>
      </c>
      <c r="D8" s="60">
        <v>0.24790607253205099</v>
      </c>
      <c r="E8" s="65">
        <v>0.29100442200694832</v>
      </c>
      <c r="F8" s="65">
        <v>0.108246470664996</v>
      </c>
      <c r="G8" s="54">
        <v>0.1139929232648282</v>
      </c>
      <c r="H8" s="1" t="s">
        <v>31</v>
      </c>
    </row>
    <row r="9" spans="1:8" x14ac:dyDescent="0.3">
      <c r="A9" s="43">
        <v>13</v>
      </c>
      <c r="B9" s="53">
        <v>0.25691282528883602</v>
      </c>
      <c r="C9" s="53">
        <v>0.25457641457483893</v>
      </c>
      <c r="D9" s="60">
        <v>0.28126564060459602</v>
      </c>
      <c r="E9" s="65">
        <v>0.24206895072120549</v>
      </c>
      <c r="F9" s="65">
        <v>0.10155365833498819</v>
      </c>
      <c r="G9" s="54">
        <v>0.1037612453176729</v>
      </c>
      <c r="H9" s="1" t="s">
        <v>44</v>
      </c>
    </row>
    <row r="10" spans="1:8" x14ac:dyDescent="0.3">
      <c r="A10" s="43">
        <v>12</v>
      </c>
      <c r="B10" s="53">
        <v>0.1039433720356735</v>
      </c>
      <c r="C10" s="53">
        <v>0.19024045650357649</v>
      </c>
      <c r="D10" s="60">
        <v>0.34034996285317798</v>
      </c>
      <c r="E10" s="65">
        <v>0.27804323994842262</v>
      </c>
      <c r="F10" s="65">
        <v>0.119152078029859</v>
      </c>
      <c r="G10" s="54">
        <v>0.1037612453176729</v>
      </c>
      <c r="H10" s="1" t="s">
        <v>36</v>
      </c>
    </row>
    <row r="11" spans="1:8" x14ac:dyDescent="0.3">
      <c r="A11" s="43">
        <v>11</v>
      </c>
      <c r="B11" s="53">
        <v>0.1216495133482835</v>
      </c>
      <c r="C11" s="53">
        <v>0.16985306196136299</v>
      </c>
      <c r="D11" s="60">
        <v>0.388563554257354</v>
      </c>
      <c r="E11" s="65">
        <v>0.24861374555913729</v>
      </c>
      <c r="F11" s="65">
        <v>0.25064404411660468</v>
      </c>
      <c r="G11" s="54">
        <v>0.16999576138077049</v>
      </c>
      <c r="H11" s="1" t="s">
        <v>38</v>
      </c>
    </row>
    <row r="12" spans="1:8" x14ac:dyDescent="0.3">
      <c r="A12" s="43">
        <v>10</v>
      </c>
      <c r="B12" s="53">
        <v>6.067934013561796E-2</v>
      </c>
      <c r="C12" s="53">
        <v>6.6813196513184861E-2</v>
      </c>
      <c r="D12" s="60">
        <v>0.399950545031311</v>
      </c>
      <c r="E12" s="65">
        <v>0.12896323351417149</v>
      </c>
      <c r="F12" s="65">
        <v>0.12518162852531989</v>
      </c>
      <c r="G12" s="54">
        <v>0.21570645620864939</v>
      </c>
      <c r="H12" s="1" t="s">
        <v>32</v>
      </c>
    </row>
    <row r="13" spans="1:8" x14ac:dyDescent="0.3">
      <c r="A13" s="43">
        <v>9</v>
      </c>
      <c r="B13" s="53">
        <v>6.4227033173094625E-2</v>
      </c>
      <c r="C13" s="53">
        <v>0.15483029452809721</v>
      </c>
      <c r="D13" s="60">
        <v>0.43507948585385298</v>
      </c>
      <c r="E13" s="65">
        <v>0.16962970966432209</v>
      </c>
      <c r="F13" s="65">
        <v>0.10155365833498819</v>
      </c>
      <c r="G13" s="54">
        <v>0.29345450745565288</v>
      </c>
      <c r="H13" s="1" t="s">
        <v>35</v>
      </c>
    </row>
    <row r="14" spans="1:8" x14ac:dyDescent="0.3">
      <c r="A14" s="43">
        <v>8</v>
      </c>
      <c r="B14" s="53">
        <v>0.10536952724685961</v>
      </c>
      <c r="C14" s="53">
        <v>0.26693912830951111</v>
      </c>
      <c r="D14" s="60">
        <v>0.47418990241855702</v>
      </c>
      <c r="E14" s="65">
        <v>0.1067200194772385</v>
      </c>
      <c r="F14" s="65">
        <v>0.10155365833498819</v>
      </c>
      <c r="G14" s="54">
        <v>0.1037612453176729</v>
      </c>
      <c r="H14" s="1" t="s">
        <v>45</v>
      </c>
    </row>
    <row r="15" spans="1:8" x14ac:dyDescent="0.3">
      <c r="A15" s="43">
        <v>7</v>
      </c>
      <c r="B15" s="53">
        <v>8.4653338407399248E-2</v>
      </c>
      <c r="C15" s="53">
        <v>0.12208818407051721</v>
      </c>
      <c r="D15" s="60">
        <v>0.50118862071605097</v>
      </c>
      <c r="E15" s="65">
        <v>0.32446059664501697</v>
      </c>
      <c r="F15" s="65">
        <v>0.10155365833498819</v>
      </c>
      <c r="G15" s="54">
        <v>0.13823591172591559</v>
      </c>
      <c r="H15" s="1" t="s">
        <v>46</v>
      </c>
    </row>
    <row r="16" spans="1:8" x14ac:dyDescent="0.3">
      <c r="A16" s="43">
        <v>6</v>
      </c>
      <c r="B16" s="53">
        <v>6.2008630366313218E-2</v>
      </c>
      <c r="C16" s="53">
        <v>0.26040571421757103</v>
      </c>
      <c r="D16" s="60">
        <v>0.53524476184674197</v>
      </c>
      <c r="E16" s="65">
        <v>0.1067200194772385</v>
      </c>
      <c r="F16" s="65">
        <v>0.10155365833498819</v>
      </c>
      <c r="G16" s="54">
        <v>0.2560017363633072</v>
      </c>
      <c r="H16" s="1" t="s">
        <v>30</v>
      </c>
    </row>
    <row r="17" spans="1:8" x14ac:dyDescent="0.3">
      <c r="A17" s="43">
        <v>5</v>
      </c>
      <c r="B17" s="53">
        <v>0.1202053717041603</v>
      </c>
      <c r="C17" s="53">
        <v>0.16109848730107321</v>
      </c>
      <c r="D17" s="60">
        <v>0.54893726307541901</v>
      </c>
      <c r="E17" s="65">
        <v>0.17008933186008149</v>
      </c>
      <c r="F17" s="65">
        <v>0.27528967563063772</v>
      </c>
      <c r="G17" s="54">
        <v>0.16758907375405899</v>
      </c>
      <c r="H17" s="1" t="s">
        <v>37</v>
      </c>
    </row>
    <row r="18" spans="1:8" x14ac:dyDescent="0.3">
      <c r="A18" s="43">
        <v>4</v>
      </c>
      <c r="B18" s="53">
        <v>0.28227114589511132</v>
      </c>
      <c r="C18" s="53">
        <v>6.516607737331874E-2</v>
      </c>
      <c r="D18" s="60">
        <v>0.58371425606695315</v>
      </c>
      <c r="E18" s="65">
        <v>0.28577314002182541</v>
      </c>
      <c r="F18" s="65">
        <v>0.16710661185701839</v>
      </c>
      <c r="G18" s="54">
        <v>0.15996685766432919</v>
      </c>
      <c r="H18" s="1" t="s">
        <v>49</v>
      </c>
    </row>
    <row r="19" spans="1:8" x14ac:dyDescent="0.3">
      <c r="A19" s="43">
        <v>3</v>
      </c>
      <c r="B19" s="53">
        <v>5.133819847534786E-2</v>
      </c>
      <c r="C19" s="53">
        <v>0.25457641457483893</v>
      </c>
      <c r="D19" s="60">
        <v>0.60726173707464903</v>
      </c>
      <c r="E19" s="65">
        <v>0.24824483374410089</v>
      </c>
      <c r="F19" s="65">
        <v>0.2881274398577503</v>
      </c>
      <c r="G19" s="54">
        <v>0.26426915998857842</v>
      </c>
      <c r="H19" s="1" t="s">
        <v>42</v>
      </c>
    </row>
    <row r="20" spans="1:8" x14ac:dyDescent="0.3">
      <c r="A20" s="43">
        <v>2</v>
      </c>
      <c r="B20" s="53">
        <v>0.29731528292090348</v>
      </c>
      <c r="C20" s="53">
        <v>0.29115081021963801</v>
      </c>
      <c r="D20" s="60">
        <v>0.61026173707464948</v>
      </c>
      <c r="E20" s="65">
        <v>0.18945464506061421</v>
      </c>
      <c r="F20" s="65">
        <v>0.10155365833498819</v>
      </c>
      <c r="G20" s="54">
        <v>0.29588315318380942</v>
      </c>
      <c r="H20" s="1" t="s">
        <v>34</v>
      </c>
    </row>
    <row r="21" spans="1:8" x14ac:dyDescent="0.3">
      <c r="A21" s="43">
        <v>1</v>
      </c>
      <c r="B21" s="53">
        <v>0.18141826864259999</v>
      </c>
      <c r="C21" s="53">
        <v>0.254450791916772</v>
      </c>
      <c r="D21" s="60">
        <v>0.61191053879833257</v>
      </c>
      <c r="E21" s="65">
        <v>0.106720019477238</v>
      </c>
      <c r="F21" s="65">
        <v>0.152651963522863</v>
      </c>
      <c r="G21" s="54">
        <v>0.1037612453176729</v>
      </c>
      <c r="H21" s="1" t="s">
        <v>47</v>
      </c>
    </row>
  </sheetData>
  <autoFilter ref="A1:H21" xr:uid="{00000000-0001-0000-0100-000000000000}">
    <sortState xmlns:xlrd2="http://schemas.microsoft.com/office/spreadsheetml/2017/richdata2" ref="A2:H21">
      <sortCondition ref="D1:D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7"/>
  <sheetViews>
    <sheetView showGridLines="0" workbookViewId="0"/>
  </sheetViews>
  <sheetFormatPr defaultColWidth="8.6640625" defaultRowHeight="14.4" x14ac:dyDescent="0.3"/>
  <cols>
    <col min="1" max="1" width="8.6640625" customWidth="1"/>
    <col min="2" max="2" width="19" style="3" customWidth="1"/>
    <col min="3" max="7" width="13.6640625" customWidth="1"/>
    <col min="8" max="8" width="10.77734375" customWidth="1"/>
    <col min="9" max="9" width="43" customWidth="1"/>
    <col min="10" max="10" width="13.6640625" customWidth="1"/>
    <col min="11" max="11" width="16" customWidth="1"/>
    <col min="12" max="14" width="13.6640625" customWidth="1"/>
    <col min="15" max="15" width="12.109375" customWidth="1"/>
    <col min="16" max="16" width="13.109375" customWidth="1"/>
    <col min="18" max="18" width="11.77734375" customWidth="1"/>
  </cols>
  <sheetData>
    <row r="1" spans="2:24" x14ac:dyDescent="0.3">
      <c r="B1" s="35" t="s">
        <v>50</v>
      </c>
      <c r="C1" s="34">
        <v>1</v>
      </c>
      <c r="D1" s="34">
        <v>1</v>
      </c>
      <c r="E1" s="34">
        <v>1</v>
      </c>
      <c r="F1" s="34">
        <v>1</v>
      </c>
      <c r="G1" s="34">
        <v>1</v>
      </c>
    </row>
    <row r="2" spans="2:24" x14ac:dyDescent="0.3">
      <c r="B2" s="35" t="s">
        <v>51</v>
      </c>
      <c r="C2" s="34">
        <v>1</v>
      </c>
      <c r="D2" s="34">
        <v>1</v>
      </c>
      <c r="E2" s="34">
        <v>1</v>
      </c>
      <c r="F2" s="34">
        <v>2</v>
      </c>
      <c r="G2" s="34">
        <v>2</v>
      </c>
    </row>
    <row r="3" spans="2:24" ht="41.4" customHeight="1" x14ac:dyDescent="0.3">
      <c r="B3" s="4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5" t="s">
        <v>5</v>
      </c>
      <c r="H3" s="16" t="s">
        <v>6</v>
      </c>
      <c r="I3" s="16" t="s">
        <v>7</v>
      </c>
      <c r="J3" s="17" t="s">
        <v>8</v>
      </c>
      <c r="K3" s="33" t="s">
        <v>9</v>
      </c>
      <c r="L3" s="14" t="s">
        <v>52</v>
      </c>
      <c r="M3" s="18" t="s">
        <v>53</v>
      </c>
      <c r="R3" s="4" t="s">
        <v>0</v>
      </c>
      <c r="S3" s="15" t="s">
        <v>1</v>
      </c>
      <c r="T3" s="15" t="s">
        <v>2</v>
      </c>
      <c r="U3" s="15" t="s">
        <v>3</v>
      </c>
      <c r="V3" s="15" t="s">
        <v>4</v>
      </c>
      <c r="W3" s="15" t="s">
        <v>5</v>
      </c>
      <c r="X3" s="17" t="s">
        <v>8</v>
      </c>
    </row>
    <row r="4" spans="2:24" x14ac:dyDescent="0.3">
      <c r="B4" s="10" t="s">
        <v>10</v>
      </c>
      <c r="C4" s="2">
        <v>2</v>
      </c>
      <c r="D4" s="2">
        <v>4</v>
      </c>
      <c r="E4" s="2">
        <v>1</v>
      </c>
      <c r="F4" s="2">
        <v>3</v>
      </c>
      <c r="G4" s="2">
        <v>4</v>
      </c>
      <c r="H4" s="6">
        <v>1</v>
      </c>
      <c r="I4" s="6">
        <v>0</v>
      </c>
      <c r="J4" s="6">
        <v>0</v>
      </c>
      <c r="K4" s="1">
        <f t="shared" ref="K4:K10" si="0">SUM(C4:G4)</f>
        <v>14</v>
      </c>
      <c r="L4" s="26">
        <f t="shared" ref="L4:L10" si="1">SUMPRODUCT($C$1:$E$1,C4:E4)/SUM($C$1:$E$1)</f>
        <v>2.3333333333333335</v>
      </c>
      <c r="M4" s="26">
        <f t="shared" ref="M4:M10" si="2">SUMPRODUCT(C4:G4,$C$2:$G$2)/SUM($C$2:$G$2)</f>
        <v>3</v>
      </c>
      <c r="R4" s="10" t="s">
        <v>10</v>
      </c>
      <c r="S4" s="2">
        <v>2</v>
      </c>
      <c r="T4" s="2">
        <v>4</v>
      </c>
      <c r="U4" s="2">
        <v>1</v>
      </c>
      <c r="V4" s="2">
        <v>3</v>
      </c>
      <c r="W4" s="2">
        <v>4</v>
      </c>
      <c r="X4" s="6">
        <v>0</v>
      </c>
    </row>
    <row r="5" spans="2:24" x14ac:dyDescent="0.3">
      <c r="B5" s="10" t="s">
        <v>11</v>
      </c>
      <c r="C5" s="2">
        <v>3</v>
      </c>
      <c r="D5" s="2">
        <v>5</v>
      </c>
      <c r="E5" s="2">
        <v>2</v>
      </c>
      <c r="F5" s="2">
        <v>3</v>
      </c>
      <c r="G5" s="2">
        <v>3</v>
      </c>
      <c r="H5" s="6">
        <v>0</v>
      </c>
      <c r="I5" s="6">
        <v>0</v>
      </c>
      <c r="J5" s="6">
        <v>1</v>
      </c>
      <c r="K5" s="1">
        <f t="shared" si="0"/>
        <v>16</v>
      </c>
      <c r="L5" s="26">
        <f t="shared" si="1"/>
        <v>3.3333333333333335</v>
      </c>
      <c r="M5" s="26">
        <f t="shared" si="2"/>
        <v>3.1428571428571428</v>
      </c>
      <c r="R5" s="10" t="s">
        <v>11</v>
      </c>
      <c r="S5" s="2">
        <v>3</v>
      </c>
      <c r="T5" s="2">
        <v>5</v>
      </c>
      <c r="U5" s="2">
        <v>2</v>
      </c>
      <c r="V5" s="2">
        <v>3</v>
      </c>
      <c r="W5" s="2">
        <v>3</v>
      </c>
      <c r="X5" s="6">
        <v>1</v>
      </c>
    </row>
    <row r="6" spans="2:24" x14ac:dyDescent="0.3">
      <c r="B6" s="10" t="s">
        <v>12</v>
      </c>
      <c r="C6" s="2">
        <v>2</v>
      </c>
      <c r="D6" s="2">
        <v>1</v>
      </c>
      <c r="E6" s="2">
        <v>3</v>
      </c>
      <c r="F6" s="2">
        <v>2</v>
      </c>
      <c r="G6" s="2">
        <v>3</v>
      </c>
      <c r="H6" s="6">
        <v>0</v>
      </c>
      <c r="I6" s="6">
        <v>1</v>
      </c>
      <c r="J6" s="6">
        <v>0</v>
      </c>
      <c r="K6" s="1">
        <f t="shared" si="0"/>
        <v>11</v>
      </c>
      <c r="L6" s="26">
        <f t="shared" si="1"/>
        <v>2</v>
      </c>
      <c r="M6" s="26">
        <f t="shared" si="2"/>
        <v>2.2857142857142856</v>
      </c>
      <c r="R6" s="10" t="s">
        <v>12</v>
      </c>
      <c r="S6" s="2">
        <v>2</v>
      </c>
      <c r="T6" s="2">
        <v>1</v>
      </c>
      <c r="U6" s="2">
        <v>3</v>
      </c>
      <c r="V6" s="2">
        <v>2</v>
      </c>
      <c r="W6" s="2">
        <v>3</v>
      </c>
      <c r="X6" s="6">
        <v>0</v>
      </c>
    </row>
    <row r="7" spans="2:24" x14ac:dyDescent="0.3">
      <c r="B7" s="10" t="s">
        <v>13</v>
      </c>
      <c r="C7" s="2">
        <v>2</v>
      </c>
      <c r="D7" s="2">
        <v>2</v>
      </c>
      <c r="E7" s="2">
        <v>5</v>
      </c>
      <c r="F7" s="2">
        <v>2</v>
      </c>
      <c r="G7" s="2">
        <v>2</v>
      </c>
      <c r="H7" s="6">
        <v>0</v>
      </c>
      <c r="I7" s="6">
        <v>0</v>
      </c>
      <c r="J7" s="6">
        <v>0</v>
      </c>
      <c r="K7" s="1">
        <f t="shared" si="0"/>
        <v>13</v>
      </c>
      <c r="L7" s="26">
        <f t="shared" si="1"/>
        <v>3</v>
      </c>
      <c r="M7" s="26">
        <f t="shared" si="2"/>
        <v>2.4285714285714284</v>
      </c>
      <c r="R7" s="10" t="s">
        <v>13</v>
      </c>
      <c r="S7" s="2">
        <v>2</v>
      </c>
      <c r="T7" s="2">
        <v>2</v>
      </c>
      <c r="U7" s="2">
        <v>5</v>
      </c>
      <c r="V7" s="2">
        <v>2</v>
      </c>
      <c r="W7" s="2">
        <v>2</v>
      </c>
      <c r="X7" s="6">
        <v>0</v>
      </c>
    </row>
    <row r="8" spans="2:24" x14ac:dyDescent="0.3">
      <c r="B8" s="10" t="s">
        <v>14</v>
      </c>
      <c r="C8" s="2">
        <v>3</v>
      </c>
      <c r="D8" s="2">
        <v>4</v>
      </c>
      <c r="E8" s="2">
        <v>3</v>
      </c>
      <c r="F8" s="2">
        <v>2</v>
      </c>
      <c r="G8" s="2">
        <v>5</v>
      </c>
      <c r="H8" s="6">
        <v>0</v>
      </c>
      <c r="I8" s="6">
        <v>0</v>
      </c>
      <c r="J8" s="6">
        <v>1</v>
      </c>
      <c r="K8" s="1">
        <f t="shared" si="0"/>
        <v>17</v>
      </c>
      <c r="L8" s="26">
        <f t="shared" si="1"/>
        <v>3.3333333333333335</v>
      </c>
      <c r="M8" s="26">
        <f t="shared" si="2"/>
        <v>3.4285714285714284</v>
      </c>
      <c r="R8" s="10" t="s">
        <v>14</v>
      </c>
      <c r="S8" s="2">
        <v>3</v>
      </c>
      <c r="T8" s="2">
        <v>4</v>
      </c>
      <c r="U8" s="2">
        <v>3</v>
      </c>
      <c r="V8" s="2">
        <v>2</v>
      </c>
      <c r="W8" s="2">
        <v>5</v>
      </c>
      <c r="X8" s="6">
        <v>1</v>
      </c>
    </row>
    <row r="9" spans="2:24" x14ac:dyDescent="0.3">
      <c r="B9" s="10" t="s">
        <v>15</v>
      </c>
      <c r="C9" s="2">
        <v>5</v>
      </c>
      <c r="D9" s="2">
        <v>4</v>
      </c>
      <c r="E9" s="2">
        <v>2</v>
      </c>
      <c r="F9" s="2">
        <v>4</v>
      </c>
      <c r="G9" s="2">
        <v>4</v>
      </c>
      <c r="H9" s="6">
        <v>1</v>
      </c>
      <c r="I9" s="6">
        <v>1</v>
      </c>
      <c r="J9" s="6">
        <v>0</v>
      </c>
      <c r="K9" s="1">
        <f t="shared" si="0"/>
        <v>19</v>
      </c>
      <c r="L9" s="26">
        <f t="shared" si="1"/>
        <v>3.6666666666666665</v>
      </c>
      <c r="M9" s="26">
        <f t="shared" si="2"/>
        <v>3.8571428571428572</v>
      </c>
      <c r="R9" s="10" t="s">
        <v>15</v>
      </c>
      <c r="S9" s="2">
        <v>5</v>
      </c>
      <c r="T9" s="2">
        <v>4</v>
      </c>
      <c r="U9" s="2">
        <v>2</v>
      </c>
      <c r="V9" s="2">
        <v>4</v>
      </c>
      <c r="W9" s="2">
        <v>4</v>
      </c>
      <c r="X9" s="6">
        <v>0</v>
      </c>
    </row>
    <row r="10" spans="2:24" x14ac:dyDescent="0.3">
      <c r="B10" s="10" t="s">
        <v>16</v>
      </c>
      <c r="C10" s="2">
        <v>2</v>
      </c>
      <c r="D10" s="2">
        <v>1</v>
      </c>
      <c r="E10" s="2">
        <v>3</v>
      </c>
      <c r="F10" s="2">
        <v>3</v>
      </c>
      <c r="G10" s="2">
        <v>3</v>
      </c>
      <c r="H10" s="6">
        <v>0</v>
      </c>
      <c r="I10" s="6">
        <v>0</v>
      </c>
      <c r="J10" s="6">
        <v>0</v>
      </c>
      <c r="K10" s="1">
        <f t="shared" si="0"/>
        <v>12</v>
      </c>
      <c r="L10" s="26">
        <f t="shared" si="1"/>
        <v>2</v>
      </c>
      <c r="M10" s="26">
        <f t="shared" si="2"/>
        <v>2.5714285714285716</v>
      </c>
      <c r="R10" s="10" t="s">
        <v>16</v>
      </c>
      <c r="S10" s="2">
        <v>2</v>
      </c>
      <c r="T10" s="2">
        <v>1</v>
      </c>
      <c r="U10" s="2">
        <v>3</v>
      </c>
      <c r="V10" s="2">
        <v>3</v>
      </c>
      <c r="W10" s="2">
        <v>3</v>
      </c>
      <c r="X10" s="6">
        <v>0</v>
      </c>
    </row>
    <row r="12" spans="2:24" x14ac:dyDescent="0.3">
      <c r="B12" s="66" t="s">
        <v>54</v>
      </c>
      <c r="C12" s="70" t="s">
        <v>1</v>
      </c>
      <c r="D12" s="68" t="s">
        <v>2</v>
      </c>
      <c r="E12" s="68" t="s">
        <v>3</v>
      </c>
      <c r="F12" s="68" t="s">
        <v>4</v>
      </c>
      <c r="G12" s="72" t="s">
        <v>5</v>
      </c>
      <c r="J12" s="19" t="s">
        <v>55</v>
      </c>
      <c r="K12" s="21" t="s">
        <v>56</v>
      </c>
      <c r="L12" s="20" t="s">
        <v>57</v>
      </c>
    </row>
    <row r="13" spans="2:24" ht="34.950000000000003" customHeight="1" x14ac:dyDescent="0.3">
      <c r="B13" s="67"/>
      <c r="C13" s="71"/>
      <c r="D13" s="69"/>
      <c r="E13" s="69"/>
      <c r="F13" s="69"/>
      <c r="G13" s="73"/>
      <c r="J13" s="19" t="s">
        <v>58</v>
      </c>
      <c r="K13" s="22" t="s">
        <v>59</v>
      </c>
      <c r="L13" s="17" t="s">
        <v>60</v>
      </c>
      <c r="R13" s="44" t="s">
        <v>61</v>
      </c>
      <c r="S13" s="48">
        <v>1</v>
      </c>
      <c r="T13" s="48">
        <v>1</v>
      </c>
      <c r="U13" s="48">
        <v>1</v>
      </c>
      <c r="V13" s="48">
        <v>1</v>
      </c>
      <c r="W13" s="48">
        <v>1</v>
      </c>
      <c r="X13" s="49">
        <v>1</v>
      </c>
    </row>
    <row r="14" spans="2:24" x14ac:dyDescent="0.3">
      <c r="B14" s="9" t="s">
        <v>62</v>
      </c>
      <c r="C14" s="2" t="str">
        <f t="array" ref="C14:C20">_xlfn.SORTBY($B$4:$B$10, C4:C10, 1)</f>
        <v>A</v>
      </c>
      <c r="D14" s="2" t="str">
        <f t="array" ref="D14:D20">_xlfn.SORTBY(B4:B10,D4:D10)</f>
        <v>C</v>
      </c>
      <c r="E14" s="2" t="str">
        <f t="array" ref="E14:E20">_xlfn.SORTBY(B4:B10,E4:E10)</f>
        <v>A</v>
      </c>
      <c r="F14" s="2" t="str">
        <f t="array" ref="F14:F20">_xlfn.SORTBY(B4:B10,F4:F10)</f>
        <v>C</v>
      </c>
      <c r="G14" s="2" t="str">
        <f t="array" ref="G14:G20">_xlfn.SORTBY(B4:B10,G4:G10)</f>
        <v>D</v>
      </c>
      <c r="J14" s="11" t="str">
        <f t="array" ref="J14:J20">_xlfn.SORTBY(B4:B10,L4:L10)</f>
        <v>C</v>
      </c>
      <c r="K14" s="38" t="str">
        <f t="array" ref="K14:K20">_xlfn.SORTBY(B4:B10,M4:M10)</f>
        <v>C</v>
      </c>
      <c r="L14" s="37" t="s">
        <v>10</v>
      </c>
      <c r="Q14" s="8"/>
      <c r="R14" s="8"/>
    </row>
    <row r="15" spans="2:24" x14ac:dyDescent="0.3">
      <c r="B15" s="9" t="s">
        <v>63</v>
      </c>
      <c r="C15" s="2" t="str">
        <v>C</v>
      </c>
      <c r="D15" s="2" t="str">
        <v>G</v>
      </c>
      <c r="E15" s="2" t="str">
        <v>B</v>
      </c>
      <c r="F15" s="2" t="str">
        <v>D</v>
      </c>
      <c r="G15" s="2" t="str">
        <v>B</v>
      </c>
      <c r="J15" s="36" t="str">
        <v>G</v>
      </c>
      <c r="K15" s="31" t="str">
        <v>D</v>
      </c>
      <c r="L15" s="32" t="s">
        <v>11</v>
      </c>
      <c r="M15" s="28" t="s">
        <v>64</v>
      </c>
      <c r="Q15" s="8"/>
      <c r="R15" s="8"/>
    </row>
    <row r="16" spans="2:24" x14ac:dyDescent="0.3">
      <c r="B16" s="9" t="s">
        <v>65</v>
      </c>
      <c r="C16" s="2" t="str">
        <v>D</v>
      </c>
      <c r="D16" s="2" t="str">
        <v>D</v>
      </c>
      <c r="E16" s="2" t="str">
        <v>F</v>
      </c>
      <c r="F16" s="2" t="str">
        <v>E</v>
      </c>
      <c r="G16" s="2" t="str">
        <v>C</v>
      </c>
      <c r="J16" s="24" t="str">
        <v>A</v>
      </c>
      <c r="K16" s="1" t="str">
        <v>G</v>
      </c>
      <c r="L16" s="37" t="s">
        <v>15</v>
      </c>
      <c r="Q16" s="8"/>
      <c r="R16" s="8"/>
    </row>
    <row r="17" spans="1:27" ht="55.2" customHeight="1" x14ac:dyDescent="0.3">
      <c r="A17" s="5"/>
      <c r="B17" s="9" t="s">
        <v>66</v>
      </c>
      <c r="C17" s="2" t="str">
        <v>G</v>
      </c>
      <c r="D17" s="2" t="str">
        <v>A</v>
      </c>
      <c r="E17" s="2" t="str">
        <v>C</v>
      </c>
      <c r="F17" s="2" t="str">
        <v>A</v>
      </c>
      <c r="G17" s="2" t="str">
        <v>G</v>
      </c>
      <c r="J17" s="27" t="str">
        <v>D</v>
      </c>
      <c r="K17" s="25" t="str">
        <v>A</v>
      </c>
      <c r="L17" s="25" t="s">
        <v>12</v>
      </c>
      <c r="Q17" s="8"/>
      <c r="R17" s="4" t="s">
        <v>0</v>
      </c>
      <c r="S17" s="15" t="s">
        <v>1</v>
      </c>
      <c r="T17" s="15" t="s">
        <v>2</v>
      </c>
      <c r="U17" s="15" t="s">
        <v>3</v>
      </c>
      <c r="V17" s="15" t="s">
        <v>4</v>
      </c>
      <c r="W17" s="15" t="s">
        <v>5</v>
      </c>
      <c r="X17" s="17" t="s">
        <v>8</v>
      </c>
      <c r="Y17" s="33" t="s">
        <v>9</v>
      </c>
      <c r="Z17" s="14" t="s">
        <v>52</v>
      </c>
      <c r="AA17" s="18" t="s">
        <v>53</v>
      </c>
    </row>
    <row r="18" spans="1:27" x14ac:dyDescent="0.3">
      <c r="A18" s="5"/>
      <c r="B18" s="9" t="s">
        <v>67</v>
      </c>
      <c r="C18" s="2" t="str">
        <v>B</v>
      </c>
      <c r="D18" s="2" t="str">
        <v>E</v>
      </c>
      <c r="E18" s="2" t="str">
        <v>E</v>
      </c>
      <c r="F18" s="2" t="str">
        <v>B</v>
      </c>
      <c r="G18" s="2" t="str">
        <v>A</v>
      </c>
      <c r="J18" s="30" t="str">
        <v>B</v>
      </c>
      <c r="K18" s="29" t="str">
        <v>B</v>
      </c>
      <c r="L18" s="32" t="s">
        <v>14</v>
      </c>
      <c r="M18" s="28" t="s">
        <v>64</v>
      </c>
      <c r="R18" s="10" t="s">
        <v>10</v>
      </c>
      <c r="S18" s="2">
        <f t="shared" ref="S18:W24" si="3">C4*S$13</f>
        <v>2</v>
      </c>
      <c r="T18" s="2">
        <f t="shared" si="3"/>
        <v>4</v>
      </c>
      <c r="U18" s="2">
        <f t="shared" si="3"/>
        <v>1</v>
      </c>
      <c r="V18" s="2">
        <f t="shared" si="3"/>
        <v>3</v>
      </c>
      <c r="W18" s="2">
        <f t="shared" si="3"/>
        <v>4</v>
      </c>
      <c r="X18" s="6">
        <f t="shared" ref="X18:X24" si="4">X$13*J4</f>
        <v>0</v>
      </c>
      <c r="Y18" s="1">
        <f t="shared" ref="Y18:Y24" si="5">SUM(S18:W18)</f>
        <v>14</v>
      </c>
      <c r="Z18" s="26">
        <f t="shared" ref="Z18:Z24" si="6">SUMPRODUCT($C$1:$E$1,S18:U18)/SUM($C$1:$E$1)</f>
        <v>2.3333333333333335</v>
      </c>
      <c r="AA18" s="26">
        <f t="shared" ref="AA18:AA24" si="7">SUMPRODUCT(S18:W18,$C$2:$G$2)/SUM($C$2:$G$2)</f>
        <v>3</v>
      </c>
    </row>
    <row r="19" spans="1:27" x14ac:dyDescent="0.3">
      <c r="A19" s="5"/>
      <c r="B19" s="9" t="s">
        <v>68</v>
      </c>
      <c r="C19" s="2" t="str">
        <v>E</v>
      </c>
      <c r="D19" s="2" t="str">
        <v>F</v>
      </c>
      <c r="E19" s="2" t="str">
        <v>G</v>
      </c>
      <c r="F19" s="2" t="str">
        <v>G</v>
      </c>
      <c r="G19" s="2" t="str">
        <v>F</v>
      </c>
      <c r="J19" s="30" t="str">
        <v>E</v>
      </c>
      <c r="K19" s="29" t="str">
        <v>E</v>
      </c>
      <c r="L19" s="23" t="s">
        <v>16</v>
      </c>
      <c r="R19" s="10" t="s">
        <v>11</v>
      </c>
      <c r="S19" s="2">
        <f t="shared" si="3"/>
        <v>3</v>
      </c>
      <c r="T19" s="2">
        <f t="shared" si="3"/>
        <v>5</v>
      </c>
      <c r="U19" s="2">
        <f t="shared" si="3"/>
        <v>2</v>
      </c>
      <c r="V19" s="2">
        <f t="shared" si="3"/>
        <v>3</v>
      </c>
      <c r="W19" s="2">
        <f t="shared" si="3"/>
        <v>3</v>
      </c>
      <c r="X19" s="6">
        <f t="shared" si="4"/>
        <v>1</v>
      </c>
      <c r="Y19" s="1">
        <f t="shared" si="5"/>
        <v>16</v>
      </c>
      <c r="Z19" s="26">
        <f t="shared" si="6"/>
        <v>3.3333333333333335</v>
      </c>
      <c r="AA19" s="26">
        <f t="shared" si="7"/>
        <v>3.1428571428571428</v>
      </c>
    </row>
    <row r="20" spans="1:27" x14ac:dyDescent="0.3">
      <c r="B20" s="9" t="s">
        <v>69</v>
      </c>
      <c r="C20" s="2" t="str">
        <v>F</v>
      </c>
      <c r="D20" s="2" t="str">
        <v>B</v>
      </c>
      <c r="E20" s="2" t="str">
        <v>D</v>
      </c>
      <c r="F20" s="2" t="str">
        <v>F</v>
      </c>
      <c r="G20" s="2" t="str">
        <v>E</v>
      </c>
      <c r="J20" s="24" t="str">
        <v>F</v>
      </c>
      <c r="K20" s="25" t="str">
        <v>F</v>
      </c>
      <c r="L20" s="23" t="s">
        <v>13</v>
      </c>
      <c r="R20" s="10" t="s">
        <v>12</v>
      </c>
      <c r="S20" s="2">
        <f t="shared" si="3"/>
        <v>2</v>
      </c>
      <c r="T20" s="2">
        <f t="shared" si="3"/>
        <v>1</v>
      </c>
      <c r="U20" s="2">
        <f t="shared" si="3"/>
        <v>3</v>
      </c>
      <c r="V20" s="2">
        <f t="shared" si="3"/>
        <v>2</v>
      </c>
      <c r="W20" s="2">
        <f t="shared" si="3"/>
        <v>3</v>
      </c>
      <c r="X20" s="6">
        <f t="shared" si="4"/>
        <v>0</v>
      </c>
      <c r="Y20" s="1">
        <f t="shared" si="5"/>
        <v>11</v>
      </c>
      <c r="Z20" s="26">
        <f t="shared" si="6"/>
        <v>2</v>
      </c>
      <c r="AA20" s="26">
        <f t="shared" si="7"/>
        <v>2.2857142857142856</v>
      </c>
    </row>
    <row r="21" spans="1:27" x14ac:dyDescent="0.3">
      <c r="I21" s="39" t="s">
        <v>70</v>
      </c>
      <c r="J21" s="40" t="s">
        <v>71</v>
      </c>
      <c r="K21" s="40" t="s">
        <v>72</v>
      </c>
      <c r="L21" s="40" t="s">
        <v>73</v>
      </c>
      <c r="R21" s="10" t="s">
        <v>13</v>
      </c>
      <c r="S21" s="2">
        <f t="shared" si="3"/>
        <v>2</v>
      </c>
      <c r="T21" s="2">
        <f t="shared" si="3"/>
        <v>2</v>
      </c>
      <c r="U21" s="2">
        <f t="shared" si="3"/>
        <v>5</v>
      </c>
      <c r="V21" s="2">
        <f t="shared" si="3"/>
        <v>2</v>
      </c>
      <c r="W21" s="2">
        <f t="shared" si="3"/>
        <v>2</v>
      </c>
      <c r="X21" s="6">
        <f t="shared" si="4"/>
        <v>0</v>
      </c>
      <c r="Y21" s="1">
        <f t="shared" si="5"/>
        <v>13</v>
      </c>
      <c r="Z21" s="26">
        <f t="shared" si="6"/>
        <v>3</v>
      </c>
      <c r="AA21" s="26">
        <f t="shared" si="7"/>
        <v>2.4285714285714284</v>
      </c>
    </row>
    <row r="22" spans="1:27" x14ac:dyDescent="0.3">
      <c r="R22" s="10" t="s">
        <v>14</v>
      </c>
      <c r="S22" s="2">
        <f t="shared" si="3"/>
        <v>3</v>
      </c>
      <c r="T22" s="2">
        <f t="shared" si="3"/>
        <v>4</v>
      </c>
      <c r="U22" s="2">
        <f t="shared" si="3"/>
        <v>3</v>
      </c>
      <c r="V22" s="2">
        <f t="shared" si="3"/>
        <v>2</v>
      </c>
      <c r="W22" s="2">
        <f t="shared" si="3"/>
        <v>5</v>
      </c>
      <c r="X22" s="6">
        <f t="shared" si="4"/>
        <v>1</v>
      </c>
      <c r="Y22" s="1">
        <f t="shared" si="5"/>
        <v>17</v>
      </c>
      <c r="Z22" s="26">
        <f t="shared" si="6"/>
        <v>3.3333333333333335</v>
      </c>
      <c r="AA22" s="26">
        <f t="shared" si="7"/>
        <v>3.4285714285714284</v>
      </c>
    </row>
    <row r="23" spans="1:27" x14ac:dyDescent="0.3">
      <c r="R23" s="10" t="s">
        <v>15</v>
      </c>
      <c r="S23" s="2">
        <f t="shared" si="3"/>
        <v>5</v>
      </c>
      <c r="T23" s="2">
        <f t="shared" si="3"/>
        <v>4</v>
      </c>
      <c r="U23" s="2">
        <f t="shared" si="3"/>
        <v>2</v>
      </c>
      <c r="V23" s="2">
        <f t="shared" si="3"/>
        <v>4</v>
      </c>
      <c r="W23" s="2">
        <f t="shared" si="3"/>
        <v>4</v>
      </c>
      <c r="X23" s="6">
        <f t="shared" si="4"/>
        <v>0</v>
      </c>
      <c r="Y23" s="1">
        <f t="shared" si="5"/>
        <v>19</v>
      </c>
      <c r="Z23" s="26">
        <f t="shared" si="6"/>
        <v>3.6666666666666665</v>
      </c>
      <c r="AA23" s="26">
        <f t="shared" si="7"/>
        <v>3.8571428571428572</v>
      </c>
    </row>
    <row r="24" spans="1:27" ht="41.4" customHeight="1" x14ac:dyDescent="0.3">
      <c r="B24" s="42" t="s">
        <v>28</v>
      </c>
      <c r="C24" s="15" t="s">
        <v>1</v>
      </c>
      <c r="D24" s="15" t="s">
        <v>2</v>
      </c>
      <c r="E24" s="15" t="s">
        <v>3</v>
      </c>
      <c r="F24" s="15" t="s">
        <v>4</v>
      </c>
      <c r="G24" s="15" t="s">
        <v>5</v>
      </c>
      <c r="H24" s="17" t="s">
        <v>8</v>
      </c>
      <c r="I24" s="15" t="s">
        <v>29</v>
      </c>
      <c r="R24" s="10" t="s">
        <v>16</v>
      </c>
      <c r="S24" s="2">
        <f t="shared" si="3"/>
        <v>2</v>
      </c>
      <c r="T24" s="2">
        <f t="shared" si="3"/>
        <v>1</v>
      </c>
      <c r="U24" s="2">
        <f t="shared" si="3"/>
        <v>3</v>
      </c>
      <c r="V24" s="2">
        <f t="shared" si="3"/>
        <v>3</v>
      </c>
      <c r="W24" s="2">
        <f t="shared" si="3"/>
        <v>3</v>
      </c>
      <c r="X24" s="6">
        <f t="shared" si="4"/>
        <v>0</v>
      </c>
      <c r="Y24" s="1">
        <f t="shared" si="5"/>
        <v>12</v>
      </c>
      <c r="Z24" s="26">
        <f t="shared" si="6"/>
        <v>2</v>
      </c>
      <c r="AA24" s="26">
        <f t="shared" si="7"/>
        <v>2.5714285714285716</v>
      </c>
    </row>
    <row r="25" spans="1:27" x14ac:dyDescent="0.3">
      <c r="B25" s="43">
        <v>1</v>
      </c>
      <c r="C25" s="2">
        <v>0.3</v>
      </c>
      <c r="D25" s="2">
        <v>0.2</v>
      </c>
      <c r="E25" s="2">
        <v>0.4</v>
      </c>
      <c r="F25" s="2">
        <v>0.1</v>
      </c>
      <c r="G25" s="2">
        <v>0.1</v>
      </c>
      <c r="H25" s="6">
        <v>0.2</v>
      </c>
      <c r="I25" s="1" t="str">
        <f t="shared" ref="I25:I34" si="8">C25&amp;"x1+ "&amp;D25&amp;"x2+ "&amp;E25&amp;"x3+ "&amp;F25&amp;"x4+ "&amp;G25&amp;"x5+ -"&amp;H25&amp;"x6"</f>
        <v>0,3x1+ 0,2x2+ 0,4x3+ 0,1x4+ 0,1x5+ -0,2x6</v>
      </c>
    </row>
    <row r="26" spans="1:27" x14ac:dyDescent="0.3">
      <c r="B26" s="43">
        <v>2</v>
      </c>
      <c r="C26" s="2">
        <v>0.25</v>
      </c>
      <c r="D26" s="2">
        <v>0.15</v>
      </c>
      <c r="E26" s="2">
        <v>0.1</v>
      </c>
      <c r="F26" s="2">
        <v>0.1</v>
      </c>
      <c r="G26" s="2">
        <v>0.1</v>
      </c>
      <c r="H26" s="6">
        <v>0.3</v>
      </c>
      <c r="I26" s="1" t="str">
        <f t="shared" si="8"/>
        <v>0,25x1+ 0,15x2+ 0,1x3+ 0,1x4+ 0,1x5+ -0,3x6</v>
      </c>
    </row>
    <row r="27" spans="1:27" ht="41.4" customHeight="1" x14ac:dyDescent="0.3">
      <c r="B27" s="43">
        <v>3</v>
      </c>
      <c r="C27" s="2">
        <v>0.15</v>
      </c>
      <c r="D27" s="2">
        <v>0.3</v>
      </c>
      <c r="E27" s="2">
        <v>0.1</v>
      </c>
      <c r="F27" s="2">
        <v>0.1</v>
      </c>
      <c r="G27" s="2">
        <v>0.15</v>
      </c>
      <c r="H27" s="6">
        <v>0.2</v>
      </c>
      <c r="I27" s="1" t="str">
        <f t="shared" si="8"/>
        <v>0,15x1+ 0,3x2+ 0,1x3+ 0,1x4+ 0,15x5+ -0,2x6</v>
      </c>
      <c r="R27" s="4" t="s">
        <v>0</v>
      </c>
      <c r="S27" s="15" t="s">
        <v>1</v>
      </c>
      <c r="T27" s="15" t="s">
        <v>2</v>
      </c>
      <c r="U27" s="15" t="s">
        <v>3</v>
      </c>
      <c r="V27" s="15" t="s">
        <v>4</v>
      </c>
      <c r="W27" s="15" t="s">
        <v>5</v>
      </c>
      <c r="X27" s="17" t="s">
        <v>8</v>
      </c>
      <c r="Y27" s="33" t="s">
        <v>74</v>
      </c>
    </row>
    <row r="28" spans="1:27" x14ac:dyDescent="0.3">
      <c r="B28" s="43">
        <v>4</v>
      </c>
      <c r="C28" s="2">
        <v>0.1</v>
      </c>
      <c r="D28" s="2">
        <v>0.1</v>
      </c>
      <c r="E28" s="2">
        <v>0.4</v>
      </c>
      <c r="F28" s="2">
        <v>0.15</v>
      </c>
      <c r="G28" s="2">
        <v>0.1</v>
      </c>
      <c r="H28" s="6">
        <v>0.15</v>
      </c>
      <c r="I28" s="1" t="str">
        <f t="shared" si="8"/>
        <v>0,1x1+ 0,1x2+ 0,4x3+ 0,15x4+ 0,1x5+ -0,15x6</v>
      </c>
      <c r="R28" s="10" t="s">
        <v>10</v>
      </c>
      <c r="S28" s="2">
        <f t="shared" ref="S28:X34" si="9">S18</f>
        <v>2</v>
      </c>
      <c r="T28" s="2">
        <f t="shared" si="9"/>
        <v>4</v>
      </c>
      <c r="U28" s="2">
        <f t="shared" si="9"/>
        <v>1</v>
      </c>
      <c r="V28" s="2">
        <f t="shared" si="9"/>
        <v>3</v>
      </c>
      <c r="W28" s="2">
        <f t="shared" si="9"/>
        <v>4</v>
      </c>
      <c r="X28" s="2">
        <f t="shared" si="9"/>
        <v>0</v>
      </c>
      <c r="Y28" s="1">
        <f t="shared" ref="Y28:Y34" si="10">SUM(S28:W28)</f>
        <v>14</v>
      </c>
    </row>
    <row r="29" spans="1:27" x14ac:dyDescent="0.3">
      <c r="B29" s="43">
        <v>5</v>
      </c>
      <c r="C29" s="2">
        <v>0.05</v>
      </c>
      <c r="D29" s="2">
        <v>0.05</v>
      </c>
      <c r="E29" s="2">
        <v>0.5</v>
      </c>
      <c r="F29" s="2">
        <v>0.15</v>
      </c>
      <c r="G29" s="2">
        <v>0.1</v>
      </c>
      <c r="H29" s="6">
        <v>0.15</v>
      </c>
      <c r="I29" s="1" t="str">
        <f t="shared" si="8"/>
        <v>0,05x1+ 0,05x2+ 0,5x3+ 0,15x4+ 0,1x5+ -0,15x6</v>
      </c>
      <c r="R29" s="10" t="s">
        <v>11</v>
      </c>
      <c r="S29" s="2">
        <f t="shared" si="9"/>
        <v>3</v>
      </c>
      <c r="T29" s="2">
        <f t="shared" si="9"/>
        <v>5</v>
      </c>
      <c r="U29" s="2">
        <f t="shared" si="9"/>
        <v>2</v>
      </c>
      <c r="V29" s="2">
        <f t="shared" si="9"/>
        <v>3</v>
      </c>
      <c r="W29" s="2">
        <f t="shared" si="9"/>
        <v>3</v>
      </c>
      <c r="X29" s="2">
        <f t="shared" si="9"/>
        <v>1</v>
      </c>
      <c r="Y29" s="1">
        <f t="shared" si="10"/>
        <v>16</v>
      </c>
    </row>
    <row r="30" spans="1:27" x14ac:dyDescent="0.3">
      <c r="B30" s="43">
        <v>6</v>
      </c>
      <c r="C30" s="2">
        <v>0.05</v>
      </c>
      <c r="D30" s="2">
        <v>0.1</v>
      </c>
      <c r="E30" s="2">
        <v>0.35</v>
      </c>
      <c r="F30" s="2">
        <v>0.15</v>
      </c>
      <c r="G30" s="2">
        <v>0.1</v>
      </c>
      <c r="H30" s="6">
        <v>0.25</v>
      </c>
      <c r="I30" s="1" t="str">
        <f t="shared" si="8"/>
        <v>0,05x1+ 0,1x2+ 0,35x3+ 0,15x4+ 0,1x5+ -0,25x6</v>
      </c>
      <c r="R30" s="10" t="s">
        <v>12</v>
      </c>
      <c r="S30" s="2">
        <f t="shared" si="9"/>
        <v>2</v>
      </c>
      <c r="T30" s="2">
        <f t="shared" si="9"/>
        <v>1</v>
      </c>
      <c r="U30" s="2">
        <f t="shared" si="9"/>
        <v>3</v>
      </c>
      <c r="V30" s="2">
        <f t="shared" si="9"/>
        <v>2</v>
      </c>
      <c r="W30" s="2">
        <f t="shared" si="9"/>
        <v>3</v>
      </c>
      <c r="X30" s="2">
        <f t="shared" si="9"/>
        <v>0</v>
      </c>
      <c r="Y30" s="1">
        <f t="shared" si="10"/>
        <v>11</v>
      </c>
    </row>
    <row r="31" spans="1:27" x14ac:dyDescent="0.3">
      <c r="B31" s="43">
        <v>7</v>
      </c>
      <c r="C31" s="2">
        <v>0.1</v>
      </c>
      <c r="D31" s="2">
        <v>0.1</v>
      </c>
      <c r="E31" s="2">
        <v>0.15</v>
      </c>
      <c r="F31" s="2">
        <v>0.35</v>
      </c>
      <c r="G31" s="2">
        <v>0.2</v>
      </c>
      <c r="H31" s="6">
        <v>0.1</v>
      </c>
      <c r="I31" s="1" t="str">
        <f t="shared" si="8"/>
        <v>0,1x1+ 0,1x2+ 0,15x3+ 0,35x4+ 0,2x5+ -0,1x6</v>
      </c>
      <c r="R31" s="10" t="s">
        <v>13</v>
      </c>
      <c r="S31" s="2">
        <f t="shared" si="9"/>
        <v>2</v>
      </c>
      <c r="T31" s="2">
        <f t="shared" si="9"/>
        <v>2</v>
      </c>
      <c r="U31" s="2">
        <f t="shared" si="9"/>
        <v>5</v>
      </c>
      <c r="V31" s="2">
        <f t="shared" si="9"/>
        <v>2</v>
      </c>
      <c r="W31" s="2">
        <f t="shared" si="9"/>
        <v>2</v>
      </c>
      <c r="X31" s="2">
        <f t="shared" si="9"/>
        <v>0</v>
      </c>
      <c r="Y31" s="1">
        <f t="shared" si="10"/>
        <v>13</v>
      </c>
    </row>
    <row r="32" spans="1:27" x14ac:dyDescent="0.3">
      <c r="B32" s="41">
        <v>8</v>
      </c>
      <c r="C32" s="2">
        <v>0.1</v>
      </c>
      <c r="D32" s="2">
        <v>0.1</v>
      </c>
      <c r="E32" s="2">
        <v>0.65</v>
      </c>
      <c r="F32" s="2">
        <v>0.25</v>
      </c>
      <c r="G32" s="2">
        <v>0.3</v>
      </c>
      <c r="H32" s="6">
        <v>0.1</v>
      </c>
      <c r="I32" s="1" t="str">
        <f t="shared" si="8"/>
        <v>0,1x1+ 0,1x2+ 0,65x3+ 0,25x4+ 0,3x5+ -0,1x6</v>
      </c>
      <c r="R32" s="10" t="s">
        <v>14</v>
      </c>
      <c r="S32" s="2">
        <f t="shared" si="9"/>
        <v>3</v>
      </c>
      <c r="T32" s="2">
        <f t="shared" si="9"/>
        <v>4</v>
      </c>
      <c r="U32" s="2">
        <f t="shared" si="9"/>
        <v>3</v>
      </c>
      <c r="V32" s="2">
        <f t="shared" si="9"/>
        <v>2</v>
      </c>
      <c r="W32" s="2">
        <f t="shared" si="9"/>
        <v>5</v>
      </c>
      <c r="X32" s="2">
        <f t="shared" si="9"/>
        <v>1</v>
      </c>
      <c r="Y32" s="1">
        <f t="shared" si="10"/>
        <v>17</v>
      </c>
    </row>
    <row r="33" spans="2:25" x14ac:dyDescent="0.3">
      <c r="B33" s="41">
        <v>9</v>
      </c>
      <c r="C33" s="2">
        <v>0.2</v>
      </c>
      <c r="D33" s="2">
        <v>0.15</v>
      </c>
      <c r="E33" s="2">
        <v>0.2</v>
      </c>
      <c r="F33" s="2">
        <v>0.15</v>
      </c>
      <c r="G33" s="2">
        <v>0.1</v>
      </c>
      <c r="H33" s="6">
        <v>0.2</v>
      </c>
      <c r="I33" s="1" t="str">
        <f t="shared" si="8"/>
        <v>0,2x1+ 0,15x2+ 0,2x3+ 0,15x4+ 0,1x5+ -0,2x6</v>
      </c>
      <c r="R33" s="10" t="s">
        <v>15</v>
      </c>
      <c r="S33" s="2">
        <f t="shared" si="9"/>
        <v>5</v>
      </c>
      <c r="T33" s="2">
        <f t="shared" si="9"/>
        <v>4</v>
      </c>
      <c r="U33" s="2">
        <f t="shared" si="9"/>
        <v>2</v>
      </c>
      <c r="V33" s="2">
        <f t="shared" si="9"/>
        <v>4</v>
      </c>
      <c r="W33" s="2">
        <f t="shared" si="9"/>
        <v>4</v>
      </c>
      <c r="X33" s="2">
        <f t="shared" si="9"/>
        <v>0</v>
      </c>
      <c r="Y33" s="1">
        <f t="shared" si="10"/>
        <v>19</v>
      </c>
    </row>
    <row r="34" spans="2:25" x14ac:dyDescent="0.3">
      <c r="B34" s="41">
        <v>10</v>
      </c>
      <c r="C34" s="2">
        <v>0.15</v>
      </c>
      <c r="D34" s="2">
        <v>0.15</v>
      </c>
      <c r="E34" s="2">
        <v>0.15</v>
      </c>
      <c r="F34" s="2">
        <v>0.15</v>
      </c>
      <c r="G34" s="2">
        <v>0.1</v>
      </c>
      <c r="H34" s="6">
        <v>0.3</v>
      </c>
      <c r="I34" s="1" t="str">
        <f t="shared" si="8"/>
        <v>0,15x1+ 0,15x2+ 0,15x3+ 0,15x4+ 0,1x5+ -0,3x6</v>
      </c>
      <c r="R34" s="10" t="s">
        <v>16</v>
      </c>
      <c r="S34" s="2">
        <f t="shared" si="9"/>
        <v>2</v>
      </c>
      <c r="T34" s="2">
        <f t="shared" si="9"/>
        <v>1</v>
      </c>
      <c r="U34" s="2">
        <f t="shared" si="9"/>
        <v>3</v>
      </c>
      <c r="V34" s="2">
        <f t="shared" si="9"/>
        <v>3</v>
      </c>
      <c r="W34" s="2">
        <f t="shared" si="9"/>
        <v>3</v>
      </c>
      <c r="X34" s="2">
        <f t="shared" si="9"/>
        <v>0</v>
      </c>
      <c r="Y34" s="1">
        <f t="shared" si="10"/>
        <v>12</v>
      </c>
    </row>
    <row r="36" spans="2:25" ht="57" customHeight="1" x14ac:dyDescent="0.3">
      <c r="B36" s="47" t="s">
        <v>75</v>
      </c>
      <c r="C36" s="46">
        <v>1</v>
      </c>
      <c r="D36" s="46">
        <v>2</v>
      </c>
      <c r="E36" s="46">
        <v>3</v>
      </c>
      <c r="F36" s="46">
        <v>4</v>
      </c>
      <c r="G36" s="46">
        <v>5</v>
      </c>
      <c r="H36" s="46">
        <v>6</v>
      </c>
      <c r="I36" s="46">
        <v>7</v>
      </c>
      <c r="J36" s="46">
        <v>8</v>
      </c>
      <c r="K36" s="46">
        <v>9</v>
      </c>
      <c r="L36" s="46">
        <v>10</v>
      </c>
      <c r="M36" s="50" t="s">
        <v>76</v>
      </c>
      <c r="R36" s="45" t="s">
        <v>77</v>
      </c>
    </row>
    <row r="37" spans="2:25" x14ac:dyDescent="0.3">
      <c r="B37" s="10" t="s">
        <v>10</v>
      </c>
      <c r="C37">
        <f>_xlfn.IFNA(
  SUMPRODUCT(
    _xlfn.XLOOKUP(TRIM($B37), $R$4:$R$10, $S$4:$W$10),
    _xlfn.XLOOKUP(--TRIM(C$36), $B$25:$B$34, $C$25:$G$34)
  )
  - _xlfn.XLOOKUP(TRIM($B37), $R$4:$R$10, $X$4:$X$10)
    * _xlfn.XLOOKUP(--TRIM(C$36), $B$25:$B$34, $H$25:$H$34), ""
)</f>
        <v>2.4999999999999996</v>
      </c>
      <c r="D37">
        <f>_xlfn.IFNA(
  SUMPRODUCT(
    _xlfn.XLOOKUP(TRIM($B37), $R$4:$R$10, $S$4:$W$10),
    _xlfn.XLOOKUP(--TRIM(D$36), $B$25:$B$34, $C$25:$G$34)
  )
  - _xlfn.XLOOKUP(TRIM($B37), $R$4:$R$10, $X$4:$X$10)
    * _xlfn.XLOOKUP(--TRIM(D$36), $B$25:$B$34, $H$25:$H$34), ""
)</f>
        <v>1.9000000000000004</v>
      </c>
      <c r="E37">
        <f>_xlfn.IFNA(
  SUMPRODUCT(
    _xlfn.XLOOKUP(TRIM($B37), $R$4:$R$10, $S$4:$W$10),
    _xlfn.XLOOKUP(--TRIM(E$36), $B$25:$B$34, $C$25:$G$34)
  )
  - _xlfn.XLOOKUP(TRIM($B37), $R$4:$R$10, $X$4:$X$10)
    * _xlfn.XLOOKUP(--TRIM(E$36), $B$25:$B$34, $H$25:$H$34), ""
)</f>
        <v>2.5</v>
      </c>
      <c r="F37">
        <f t="shared" ref="F37:L43" si="11">_xlfn.IFNA(
SUMPRODUCT(
_xlfn.XLOOKUP(TRIM($B37), $R$4:$R$10, $S$4:$W$10),
_xlfn.XLOOKUP(--TRIM(F$36), $B$25:$B$34, $C$25:$G$34)
)
- _xlfn.XLOOKUP(TRIM($B37), $R$4:$R$10, $X$4:$X$10)
* _xlfn.XLOOKUP(--TRIM(F$36), $B$25:$B$34, $H$25:$H$34), ""
)</f>
        <v>1.85</v>
      </c>
      <c r="G37">
        <f t="shared" si="11"/>
        <v>1.65</v>
      </c>
      <c r="H37">
        <f t="shared" si="11"/>
        <v>1.6999999999999997</v>
      </c>
      <c r="I37">
        <f t="shared" si="11"/>
        <v>2.5999999999999996</v>
      </c>
      <c r="J37">
        <f t="shared" si="11"/>
        <v>3.2</v>
      </c>
      <c r="K37">
        <f t="shared" si="11"/>
        <v>2.0499999999999998</v>
      </c>
      <c r="L37">
        <f t="shared" si="11"/>
        <v>1.9</v>
      </c>
      <c r="M37">
        <f t="shared" ref="M37:M43" si="12">SUM(C37:L37)</f>
        <v>21.849999999999998</v>
      </c>
    </row>
    <row r="38" spans="2:25" x14ac:dyDescent="0.3">
      <c r="B38" s="10" t="s">
        <v>11</v>
      </c>
      <c r="C38">
        <f>_xlfn.IFNA(
  SUMPRODUCT(
    _xlfn.XLOOKUP(TRIM($B38), $R$4:$R$10, $S$4:$W$10),
    _xlfn.XLOOKUP(--TRIM(C$36), $B$25:$B$34, $C$25:$G$34)
  )
  - _xlfn.XLOOKUP(TRIM($B38), $R$4:$R$10, $X$4:$X$10)
    * _xlfn.XLOOKUP(--TRIM(C$36), $B$25:$B$34, $H$25:$H$34), ""
)</f>
        <v>3.0999999999999996</v>
      </c>
      <c r="D38">
        <f t="shared" ref="D38:E43" si="13">_xlfn.IFNA(
SUMPRODUCT(
_xlfn.XLOOKUP(TRIM($B38), $R$4:$R$10, $S$4:$W$10),
_xlfn.XLOOKUP(--TRIM(D$36), $B$25:$B$34, $C$25:$G$34)
)
- _xlfn.XLOOKUP(TRIM($B38), $R$4:$R$10, $X$4:$X$10)
* _xlfn.XLOOKUP(--TRIM(D$36), $B$25:$B$34, $H$25:$H$34), ""
)</f>
        <v>1.9999999999999998</v>
      </c>
      <c r="E38">
        <f t="shared" si="13"/>
        <v>2.7</v>
      </c>
      <c r="F38">
        <f t="shared" si="11"/>
        <v>2.1999999999999997</v>
      </c>
      <c r="G38">
        <f t="shared" si="11"/>
        <v>2</v>
      </c>
      <c r="H38">
        <f t="shared" si="11"/>
        <v>1.85</v>
      </c>
      <c r="I38">
        <f t="shared" si="11"/>
        <v>2.65</v>
      </c>
      <c r="J38">
        <f t="shared" si="11"/>
        <v>3.65</v>
      </c>
      <c r="K38">
        <f t="shared" si="11"/>
        <v>2.2999999999999998</v>
      </c>
      <c r="L38">
        <f t="shared" si="11"/>
        <v>1.95</v>
      </c>
      <c r="M38">
        <f t="shared" si="12"/>
        <v>24.4</v>
      </c>
    </row>
    <row r="39" spans="2:25" x14ac:dyDescent="0.3">
      <c r="B39" s="10" t="s">
        <v>12</v>
      </c>
      <c r="C39">
        <f>_xlfn.IFNA(
SUMPRODUCT(
_xlfn.XLOOKUP(TRIM($B39), $R$4:$R$10, $S$4:$W$10),
_xlfn.XLOOKUP(--TRIM(C$36), $B$25:$B$34, $C$25:$G$34)
)
- _xlfn.XLOOKUP(TRIM($B39), $R$4:$R$10, $X$4:$X$10)
* _xlfn.XLOOKUP(--TRIM(C$36), $B$25:$B$34, $H$25:$H$34), ""
)</f>
        <v>2.5</v>
      </c>
      <c r="D39">
        <f t="shared" si="13"/>
        <v>1.4500000000000002</v>
      </c>
      <c r="E39">
        <f t="shared" si="13"/>
        <v>1.55</v>
      </c>
      <c r="F39">
        <f t="shared" si="11"/>
        <v>2.1000000000000005</v>
      </c>
      <c r="G39">
        <f t="shared" si="11"/>
        <v>2.25</v>
      </c>
      <c r="H39">
        <f t="shared" si="11"/>
        <v>1.8499999999999999</v>
      </c>
      <c r="I39">
        <f t="shared" si="11"/>
        <v>2.0499999999999998</v>
      </c>
      <c r="J39">
        <f t="shared" si="11"/>
        <v>3.65</v>
      </c>
      <c r="K39">
        <f t="shared" si="11"/>
        <v>1.7500000000000002</v>
      </c>
      <c r="L39">
        <f t="shared" si="11"/>
        <v>1.5</v>
      </c>
      <c r="M39">
        <f t="shared" si="12"/>
        <v>20.65</v>
      </c>
    </row>
    <row r="40" spans="2:25" x14ac:dyDescent="0.3">
      <c r="B40" s="10" t="s">
        <v>13</v>
      </c>
      <c r="C40">
        <f>_xlfn.IFNA(
SUMPRODUCT(
_xlfn.XLOOKUP(TRIM($B40), $R$4:$R$10, $S$4:$W$10),
_xlfn.XLOOKUP(--TRIM(C$36), $B$25:$B$34, $C$25:$G$34)
)
- _xlfn.XLOOKUP(TRIM($B40), $R$4:$R$10, $X$4:$X$10)
* _xlfn.XLOOKUP(--TRIM(C$36), $B$25:$B$34, $H$25:$H$34), ""
)</f>
        <v>3.4000000000000004</v>
      </c>
      <c r="D40">
        <f t="shared" si="13"/>
        <v>1.7</v>
      </c>
      <c r="E40">
        <f t="shared" si="13"/>
        <v>1.9</v>
      </c>
      <c r="F40">
        <f t="shared" si="11"/>
        <v>2.9</v>
      </c>
      <c r="G40">
        <f t="shared" si="11"/>
        <v>3.2</v>
      </c>
      <c r="H40">
        <f t="shared" si="11"/>
        <v>2.5499999999999998</v>
      </c>
      <c r="I40">
        <f t="shared" si="11"/>
        <v>2.25</v>
      </c>
      <c r="J40">
        <f t="shared" si="11"/>
        <v>4.75</v>
      </c>
      <c r="K40">
        <f t="shared" si="11"/>
        <v>2.2000000000000002</v>
      </c>
      <c r="L40">
        <f t="shared" si="11"/>
        <v>1.85</v>
      </c>
      <c r="M40">
        <f t="shared" si="12"/>
        <v>26.700000000000003</v>
      </c>
    </row>
    <row r="41" spans="2:25" x14ac:dyDescent="0.3">
      <c r="B41" s="10" t="s">
        <v>14</v>
      </c>
      <c r="C41">
        <f>_xlfn.IFNA(
SUMPRODUCT(
_xlfn.XLOOKUP(TRIM($B41), $R$4:$R$10, $S$4:$W$10),
_xlfn.XLOOKUP(--TRIM(C$36), $B$25:$B$34, $C$25:$G$34)
)
- _xlfn.XLOOKUP(TRIM($B41), $R$4:$R$10, $X$4:$X$10)
* _xlfn.XLOOKUP(--TRIM(C$36), $B$25:$B$34, $H$25:$H$34), ""
)</f>
        <v>3.4000000000000004</v>
      </c>
      <c r="D41">
        <f t="shared" si="13"/>
        <v>2.0500000000000003</v>
      </c>
      <c r="E41">
        <f t="shared" si="13"/>
        <v>2.6999999999999997</v>
      </c>
      <c r="F41">
        <f t="shared" si="11"/>
        <v>2.5500000000000003</v>
      </c>
      <c r="G41">
        <f t="shared" si="11"/>
        <v>2.5</v>
      </c>
      <c r="H41">
        <f t="shared" si="11"/>
        <v>2.15</v>
      </c>
      <c r="I41">
        <f t="shared" si="11"/>
        <v>2.7499999999999996</v>
      </c>
      <c r="J41">
        <f t="shared" si="11"/>
        <v>4.5500000000000007</v>
      </c>
      <c r="K41">
        <f t="shared" si="11"/>
        <v>2.4</v>
      </c>
      <c r="L41">
        <f t="shared" si="11"/>
        <v>1.9999999999999998</v>
      </c>
      <c r="M41">
        <f t="shared" si="12"/>
        <v>27.05</v>
      </c>
    </row>
    <row r="42" spans="2:25" x14ac:dyDescent="0.3">
      <c r="B42" s="10" t="s">
        <v>15</v>
      </c>
      <c r="C42">
        <f>_xlfn.IFNA(
SUMPRODUCT(
_xlfn.XLOOKUP(TRIM($B42), $R$4:$R$10, $S$4:$W$10),
_xlfn.XLOOKUP(--TRIM(C$36), $B$25:$B$34, $C$25:$G$34)
)
- _xlfn.XLOOKUP(TRIM($B42), $R$4:$R$10, $X$4:$X$10)
* _xlfn.XLOOKUP(--TRIM(C$36), $B$25:$B$34, $H$25:$H$34), ""
)</f>
        <v>3.8999999999999995</v>
      </c>
      <c r="D42">
        <f t="shared" si="13"/>
        <v>2.85</v>
      </c>
      <c r="E42">
        <f t="shared" si="13"/>
        <v>3.15</v>
      </c>
      <c r="F42">
        <f t="shared" si="11"/>
        <v>2.7</v>
      </c>
      <c r="G42">
        <f t="shared" si="11"/>
        <v>2.4499999999999997</v>
      </c>
      <c r="H42">
        <f t="shared" si="11"/>
        <v>2.35</v>
      </c>
      <c r="I42">
        <f t="shared" si="11"/>
        <v>3.3999999999999995</v>
      </c>
      <c r="J42">
        <f t="shared" si="11"/>
        <v>4.4000000000000004</v>
      </c>
      <c r="K42">
        <f t="shared" si="11"/>
        <v>3</v>
      </c>
      <c r="L42">
        <f t="shared" si="11"/>
        <v>2.65</v>
      </c>
      <c r="M42">
        <f t="shared" si="12"/>
        <v>30.85</v>
      </c>
    </row>
    <row r="43" spans="2:25" x14ac:dyDescent="0.3">
      <c r="B43" s="10" t="s">
        <v>16</v>
      </c>
      <c r="C43">
        <f>_xlfn.IFNA(
SUMPRODUCT(
_xlfn.XLOOKUP(TRIM($B43), $R$4:$R$10, $S$4:$W$10),
_xlfn.XLOOKUP(--TRIM(C$36), $B$25:$B$34, $C$25:$G$34)
)
- _xlfn.XLOOKUP(TRIM($B43), $R$4:$R$10, $X$4:$X$10)
* _xlfn.XLOOKUP(--TRIM(C$36), $B$25:$B$34, $H$25:$H$34), ""
)</f>
        <v>2.5999999999999996</v>
      </c>
      <c r="D43">
        <f t="shared" si="13"/>
        <v>1.55</v>
      </c>
      <c r="E43">
        <f t="shared" si="13"/>
        <v>1.6500000000000001</v>
      </c>
      <c r="F43">
        <f t="shared" si="11"/>
        <v>2.25</v>
      </c>
      <c r="G43">
        <f t="shared" si="11"/>
        <v>2.3999999999999995</v>
      </c>
      <c r="H43">
        <f t="shared" si="11"/>
        <v>1.9999999999999998</v>
      </c>
      <c r="I43">
        <f t="shared" si="11"/>
        <v>2.4</v>
      </c>
      <c r="J43">
        <f t="shared" si="11"/>
        <v>3.9</v>
      </c>
      <c r="K43">
        <f t="shared" si="11"/>
        <v>1.9000000000000001</v>
      </c>
      <c r="L43">
        <f t="shared" si="11"/>
        <v>1.65</v>
      </c>
      <c r="M43">
        <f t="shared" si="12"/>
        <v>22.299999999999997</v>
      </c>
    </row>
    <row r="44" spans="2:25" x14ac:dyDescent="0.3">
      <c r="B44" s="52" t="s">
        <v>76</v>
      </c>
      <c r="C44">
        <f t="shared" ref="C44:M44" si="14">SUM(C37:C43)</f>
        <v>21.4</v>
      </c>
      <c r="D44">
        <f t="shared" si="14"/>
        <v>13.500000000000002</v>
      </c>
      <c r="E44">
        <f t="shared" si="14"/>
        <v>16.149999999999999</v>
      </c>
      <c r="F44">
        <f t="shared" si="14"/>
        <v>16.55</v>
      </c>
      <c r="G44">
        <f t="shared" si="14"/>
        <v>16.45</v>
      </c>
      <c r="H44">
        <f t="shared" si="14"/>
        <v>14.45</v>
      </c>
      <c r="I44">
        <f t="shared" si="14"/>
        <v>18.099999999999998</v>
      </c>
      <c r="J44">
        <f t="shared" si="14"/>
        <v>28.1</v>
      </c>
      <c r="K44">
        <f t="shared" si="14"/>
        <v>15.600000000000001</v>
      </c>
      <c r="L44">
        <f t="shared" si="14"/>
        <v>13.5</v>
      </c>
      <c r="M44">
        <f t="shared" si="14"/>
        <v>173.8</v>
      </c>
    </row>
    <row r="46" spans="2:25" x14ac:dyDescent="0.3">
      <c r="B46" s="41" t="s">
        <v>78</v>
      </c>
      <c r="E46" s="41" t="s">
        <v>79</v>
      </c>
    </row>
    <row r="47" spans="2:25" x14ac:dyDescent="0.3">
      <c r="B47" t="str">
        <f>_xlfn.XLOOKUP(C47,M37:M43,B37:B43)</f>
        <v>F</v>
      </c>
      <c r="C47">
        <f>MAX(M37:M43)</f>
        <v>30.85</v>
      </c>
      <c r="E47">
        <v>100</v>
      </c>
    </row>
    <row r="48" spans="2:25" x14ac:dyDescent="0.3">
      <c r="B48" s="41" t="s">
        <v>80</v>
      </c>
    </row>
    <row r="49" spans="2:3" x14ac:dyDescent="0.3">
      <c r="B49" t="str">
        <f>_xlfn.XLOOKUP(C49,E4:E10,B4:B10)</f>
        <v>A</v>
      </c>
      <c r="C49">
        <f>MIN(E4:E10)</f>
        <v>1</v>
      </c>
    </row>
    <row r="50" spans="2:3" x14ac:dyDescent="0.3">
      <c r="B50" s="41" t="s">
        <v>81</v>
      </c>
    </row>
    <row r="51" spans="2:3" x14ac:dyDescent="0.3">
      <c r="C51">
        <f>C49*(SUM(E25:E34))</f>
        <v>3</v>
      </c>
    </row>
    <row r="54" spans="2:3" x14ac:dyDescent="0.3">
      <c r="B54" s="41" t="s">
        <v>82</v>
      </c>
    </row>
    <row r="55" spans="2:3" x14ac:dyDescent="0.3">
      <c r="B55" s="41" t="s">
        <v>83</v>
      </c>
      <c r="C55">
        <f>C49</f>
        <v>1</v>
      </c>
    </row>
    <row r="56" spans="2:3" x14ac:dyDescent="0.3">
      <c r="B56" s="41" t="s">
        <v>84</v>
      </c>
      <c r="C56">
        <v>6</v>
      </c>
    </row>
    <row r="57" spans="2:3" x14ac:dyDescent="0.3">
      <c r="B57" s="41" t="s">
        <v>85</v>
      </c>
      <c r="C57">
        <v>0</v>
      </c>
    </row>
  </sheetData>
  <mergeCells count="6">
    <mergeCell ref="B12:B13"/>
    <mergeCell ref="E12:E13"/>
    <mergeCell ref="C12:C13"/>
    <mergeCell ref="G12:G13"/>
    <mergeCell ref="F12:F13"/>
    <mergeCell ref="D12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3"/>
  <sheetViews>
    <sheetView showGridLines="0" workbookViewId="0"/>
  </sheetViews>
  <sheetFormatPr defaultColWidth="8.6640625" defaultRowHeight="14.4" x14ac:dyDescent="0.3"/>
  <cols>
    <col min="1" max="1" width="8.6640625" customWidth="1"/>
    <col min="2" max="2" width="19" style="3" customWidth="1"/>
    <col min="3" max="7" width="13.6640625" customWidth="1"/>
    <col min="8" max="8" width="10.77734375" customWidth="1"/>
    <col min="9" max="9" width="18.44140625" customWidth="1"/>
    <col min="10" max="10" width="13.6640625" customWidth="1"/>
    <col min="11" max="11" width="16" customWidth="1"/>
    <col min="12" max="14" width="13.6640625" customWidth="1"/>
    <col min="15" max="15" width="12.109375" customWidth="1"/>
    <col min="16" max="16" width="13.109375" customWidth="1"/>
    <col min="18" max="18" width="11.77734375" customWidth="1"/>
  </cols>
  <sheetData>
    <row r="1" spans="2:26" x14ac:dyDescent="0.3">
      <c r="B1" s="35" t="s">
        <v>50</v>
      </c>
      <c r="C1" s="34">
        <v>1</v>
      </c>
      <c r="D1" s="34">
        <v>1</v>
      </c>
      <c r="E1" s="34">
        <v>1</v>
      </c>
      <c r="F1" s="34">
        <v>1</v>
      </c>
      <c r="G1" s="34">
        <v>1</v>
      </c>
    </row>
    <row r="2" spans="2:26" x14ac:dyDescent="0.3">
      <c r="B2" s="35" t="s">
        <v>51</v>
      </c>
      <c r="C2" s="34">
        <v>1</v>
      </c>
      <c r="D2" s="34">
        <v>1</v>
      </c>
      <c r="E2" s="34">
        <v>1</v>
      </c>
      <c r="F2" s="34">
        <v>2</v>
      </c>
      <c r="G2" s="34">
        <v>2</v>
      </c>
    </row>
    <row r="3" spans="2:26" ht="41.4" customHeight="1" x14ac:dyDescent="0.3">
      <c r="B3" s="4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5" t="s">
        <v>5</v>
      </c>
      <c r="H3" s="16" t="s">
        <v>6</v>
      </c>
      <c r="I3" s="16" t="s">
        <v>7</v>
      </c>
      <c r="J3" s="17" t="s">
        <v>8</v>
      </c>
      <c r="K3" s="33" t="s">
        <v>9</v>
      </c>
      <c r="L3" s="14" t="s">
        <v>52</v>
      </c>
      <c r="M3" s="18" t="s">
        <v>53</v>
      </c>
      <c r="R3" s="4" t="s">
        <v>0</v>
      </c>
      <c r="S3" s="15" t="s">
        <v>1</v>
      </c>
      <c r="T3" s="15" t="s">
        <v>2</v>
      </c>
      <c r="U3" s="15" t="s">
        <v>3</v>
      </c>
      <c r="V3" s="15" t="s">
        <v>4</v>
      </c>
      <c r="W3" s="15" t="s">
        <v>5</v>
      </c>
      <c r="X3" s="17" t="s">
        <v>8</v>
      </c>
    </row>
    <row r="4" spans="2:26" x14ac:dyDescent="0.3">
      <c r="B4" s="10" t="s">
        <v>10</v>
      </c>
      <c r="C4" s="2">
        <v>2</v>
      </c>
      <c r="D4" s="2">
        <v>4</v>
      </c>
      <c r="E4" s="2">
        <v>1</v>
      </c>
      <c r="F4" s="2">
        <v>3</v>
      </c>
      <c r="G4" s="2">
        <v>4</v>
      </c>
      <c r="H4" s="6">
        <v>1</v>
      </c>
      <c r="I4" s="6">
        <v>0</v>
      </c>
      <c r="J4" s="6">
        <v>0</v>
      </c>
      <c r="K4" s="1">
        <f t="shared" ref="K4:K10" si="0">SUM(C4:G4)</f>
        <v>14</v>
      </c>
      <c r="L4" s="26">
        <f t="shared" ref="L4:L10" si="1">SUMPRODUCT($C$1:$E$1,C4:E4)/SUM($C$1:$E$1)</f>
        <v>2.3333333333333335</v>
      </c>
      <c r="M4" s="26">
        <f t="shared" ref="M4:M10" si="2">SUMPRODUCT(C4:G4,$C$2:$G$2)/SUM($C$2:$G$2)</f>
        <v>3</v>
      </c>
      <c r="R4" s="10" t="s">
        <v>10</v>
      </c>
      <c r="S4" s="2">
        <v>2</v>
      </c>
      <c r="T4" s="2">
        <v>4</v>
      </c>
      <c r="U4" s="2">
        <v>1</v>
      </c>
      <c r="V4" s="2">
        <v>3</v>
      </c>
      <c r="W4" s="2">
        <v>4</v>
      </c>
      <c r="X4" s="6">
        <v>0</v>
      </c>
    </row>
    <row r="5" spans="2:26" x14ac:dyDescent="0.3">
      <c r="B5" s="10" t="s">
        <v>11</v>
      </c>
      <c r="C5" s="2">
        <v>3</v>
      </c>
      <c r="D5" s="2">
        <v>5</v>
      </c>
      <c r="E5" s="2">
        <v>2</v>
      </c>
      <c r="F5" s="2">
        <v>3</v>
      </c>
      <c r="G5" s="2">
        <v>3</v>
      </c>
      <c r="H5" s="6">
        <v>0</v>
      </c>
      <c r="I5" s="6">
        <v>0</v>
      </c>
      <c r="J5" s="6">
        <v>1</v>
      </c>
      <c r="K5" s="1">
        <f t="shared" si="0"/>
        <v>16</v>
      </c>
      <c r="L5" s="26">
        <f t="shared" si="1"/>
        <v>3.3333333333333335</v>
      </c>
      <c r="M5" s="26">
        <f t="shared" si="2"/>
        <v>3.1428571428571428</v>
      </c>
      <c r="R5" s="10" t="s">
        <v>11</v>
      </c>
      <c r="S5" s="2">
        <v>3</v>
      </c>
      <c r="T5" s="2">
        <v>5</v>
      </c>
      <c r="U5" s="2">
        <v>2</v>
      </c>
      <c r="V5" s="2">
        <v>3</v>
      </c>
      <c r="W5" s="2">
        <v>3</v>
      </c>
      <c r="X5" s="6">
        <v>1</v>
      </c>
    </row>
    <row r="6" spans="2:26" x14ac:dyDescent="0.3">
      <c r="B6" s="10" t="s">
        <v>12</v>
      </c>
      <c r="C6" s="2">
        <v>2</v>
      </c>
      <c r="D6" s="2">
        <v>1</v>
      </c>
      <c r="E6" s="2">
        <v>3</v>
      </c>
      <c r="F6" s="2">
        <v>2</v>
      </c>
      <c r="G6" s="2">
        <v>3</v>
      </c>
      <c r="H6" s="6">
        <v>0</v>
      </c>
      <c r="I6" s="6">
        <v>1</v>
      </c>
      <c r="J6" s="6">
        <v>0</v>
      </c>
      <c r="K6" s="1">
        <f t="shared" si="0"/>
        <v>11</v>
      </c>
      <c r="L6" s="26">
        <f t="shared" si="1"/>
        <v>2</v>
      </c>
      <c r="M6" s="26">
        <f t="shared" si="2"/>
        <v>2.2857142857142856</v>
      </c>
      <c r="R6" s="10" t="s">
        <v>12</v>
      </c>
      <c r="S6" s="2">
        <v>2</v>
      </c>
      <c r="T6" s="2">
        <v>1</v>
      </c>
      <c r="U6" s="2">
        <v>3</v>
      </c>
      <c r="V6" s="2">
        <v>2</v>
      </c>
      <c r="W6" s="2">
        <v>3</v>
      </c>
      <c r="X6" s="6">
        <v>0</v>
      </c>
    </row>
    <row r="7" spans="2:26" x14ac:dyDescent="0.3">
      <c r="B7" s="10" t="s">
        <v>13</v>
      </c>
      <c r="C7" s="2">
        <v>2</v>
      </c>
      <c r="D7" s="2">
        <v>2</v>
      </c>
      <c r="E7" s="2">
        <v>5</v>
      </c>
      <c r="F7" s="2">
        <v>2</v>
      </c>
      <c r="G7" s="2">
        <v>2</v>
      </c>
      <c r="H7" s="6">
        <v>0</v>
      </c>
      <c r="I7" s="6">
        <v>0</v>
      </c>
      <c r="J7" s="6">
        <v>0</v>
      </c>
      <c r="K7" s="1">
        <f t="shared" si="0"/>
        <v>13</v>
      </c>
      <c r="L7" s="26">
        <f t="shared" si="1"/>
        <v>3</v>
      </c>
      <c r="M7" s="26">
        <f t="shared" si="2"/>
        <v>2.4285714285714284</v>
      </c>
      <c r="R7" s="10" t="s">
        <v>13</v>
      </c>
      <c r="S7" s="2">
        <v>2</v>
      </c>
      <c r="T7" s="2">
        <v>2</v>
      </c>
      <c r="U7" s="2">
        <v>5</v>
      </c>
      <c r="V7" s="2">
        <v>2</v>
      </c>
      <c r="W7" s="2">
        <v>2</v>
      </c>
      <c r="X7" s="6">
        <v>0</v>
      </c>
    </row>
    <row r="8" spans="2:26" x14ac:dyDescent="0.3">
      <c r="B8" s="10" t="s">
        <v>14</v>
      </c>
      <c r="C8" s="2">
        <v>3</v>
      </c>
      <c r="D8" s="2">
        <v>4</v>
      </c>
      <c r="E8" s="2">
        <v>3</v>
      </c>
      <c r="F8" s="2">
        <v>2</v>
      </c>
      <c r="G8" s="2">
        <v>5</v>
      </c>
      <c r="H8" s="6">
        <v>0</v>
      </c>
      <c r="I8" s="6">
        <v>0</v>
      </c>
      <c r="J8" s="6">
        <v>1</v>
      </c>
      <c r="K8" s="1">
        <f t="shared" si="0"/>
        <v>17</v>
      </c>
      <c r="L8" s="26">
        <f t="shared" si="1"/>
        <v>3.3333333333333335</v>
      </c>
      <c r="M8" s="26">
        <f t="shared" si="2"/>
        <v>3.4285714285714284</v>
      </c>
      <c r="R8" s="10" t="s">
        <v>14</v>
      </c>
      <c r="S8" s="2">
        <v>3</v>
      </c>
      <c r="T8" s="2">
        <v>4</v>
      </c>
      <c r="U8" s="2">
        <v>3</v>
      </c>
      <c r="V8" s="2">
        <v>2</v>
      </c>
      <c r="W8" s="2">
        <v>5</v>
      </c>
      <c r="X8" s="6">
        <v>1</v>
      </c>
    </row>
    <row r="9" spans="2:26" x14ac:dyDescent="0.3">
      <c r="B9" s="10" t="s">
        <v>15</v>
      </c>
      <c r="C9" s="2">
        <v>5</v>
      </c>
      <c r="D9" s="2">
        <v>4</v>
      </c>
      <c r="E9" s="2">
        <v>2</v>
      </c>
      <c r="F9" s="2">
        <v>4</v>
      </c>
      <c r="G9" s="2">
        <v>4</v>
      </c>
      <c r="H9" s="6">
        <v>1</v>
      </c>
      <c r="I9" s="6">
        <v>1</v>
      </c>
      <c r="J9" s="6">
        <v>0</v>
      </c>
      <c r="K9" s="1">
        <f t="shared" si="0"/>
        <v>19</v>
      </c>
      <c r="L9" s="26">
        <f t="shared" si="1"/>
        <v>3.6666666666666665</v>
      </c>
      <c r="M9" s="26">
        <f t="shared" si="2"/>
        <v>3.8571428571428572</v>
      </c>
      <c r="R9" s="10" t="s">
        <v>15</v>
      </c>
      <c r="S9" s="2">
        <v>5</v>
      </c>
      <c r="T9" s="2">
        <v>4</v>
      </c>
      <c r="U9" s="2">
        <v>2</v>
      </c>
      <c r="V9" s="2">
        <v>4</v>
      </c>
      <c r="W9" s="2">
        <v>4</v>
      </c>
      <c r="X9" s="6">
        <v>0</v>
      </c>
    </row>
    <row r="10" spans="2:26" x14ac:dyDescent="0.3">
      <c r="B10" s="10" t="s">
        <v>16</v>
      </c>
      <c r="C10" s="2">
        <v>2</v>
      </c>
      <c r="D10" s="2">
        <v>1</v>
      </c>
      <c r="E10" s="2">
        <v>3</v>
      </c>
      <c r="F10" s="2">
        <v>3</v>
      </c>
      <c r="G10" s="2">
        <v>3</v>
      </c>
      <c r="H10" s="6">
        <v>0</v>
      </c>
      <c r="I10" s="6">
        <v>0</v>
      </c>
      <c r="J10" s="6">
        <v>0</v>
      </c>
      <c r="K10" s="1">
        <f t="shared" si="0"/>
        <v>12</v>
      </c>
      <c r="L10" s="26">
        <f t="shared" si="1"/>
        <v>2</v>
      </c>
      <c r="M10" s="26">
        <f t="shared" si="2"/>
        <v>2.5714285714285716</v>
      </c>
      <c r="R10" s="10" t="s">
        <v>16</v>
      </c>
      <c r="S10" s="2">
        <v>2</v>
      </c>
      <c r="T10" s="2">
        <v>1</v>
      </c>
      <c r="U10" s="2">
        <v>3</v>
      </c>
      <c r="V10" s="2">
        <v>3</v>
      </c>
      <c r="W10" s="2">
        <v>3</v>
      </c>
      <c r="X10" s="6">
        <v>0</v>
      </c>
    </row>
    <row r="12" spans="2:26" x14ac:dyDescent="0.3">
      <c r="B12" s="66" t="s">
        <v>54</v>
      </c>
      <c r="C12" s="70" t="s">
        <v>1</v>
      </c>
      <c r="D12" s="68" t="s">
        <v>2</v>
      </c>
      <c r="E12" s="68" t="s">
        <v>3</v>
      </c>
      <c r="F12" s="68" t="s">
        <v>4</v>
      </c>
      <c r="G12" s="72" t="s">
        <v>5</v>
      </c>
      <c r="J12" s="19" t="s">
        <v>55</v>
      </c>
      <c r="K12" s="21" t="s">
        <v>56</v>
      </c>
      <c r="L12" s="20" t="s">
        <v>57</v>
      </c>
      <c r="Y12" s="51" t="s">
        <v>86</v>
      </c>
      <c r="Z12" s="51" t="s">
        <v>87</v>
      </c>
    </row>
    <row r="13" spans="2:26" ht="34.950000000000003" customHeight="1" x14ac:dyDescent="0.3">
      <c r="B13" s="67"/>
      <c r="C13" s="71"/>
      <c r="D13" s="69"/>
      <c r="E13" s="69"/>
      <c r="F13" s="69"/>
      <c r="G13" s="73"/>
      <c r="J13" s="19" t="s">
        <v>58</v>
      </c>
      <c r="K13" s="22" t="s">
        <v>59</v>
      </c>
      <c r="L13" s="17" t="s">
        <v>60</v>
      </c>
      <c r="R13" s="44" t="s">
        <v>61</v>
      </c>
      <c r="S13" s="48">
        <v>1</v>
      </c>
      <c r="T13" s="48">
        <v>1</v>
      </c>
      <c r="U13" s="48">
        <v>1</v>
      </c>
      <c r="V13" s="48">
        <v>1</v>
      </c>
      <c r="W13" s="48">
        <v>1</v>
      </c>
      <c r="X13" s="49">
        <v>1</v>
      </c>
      <c r="Y13" s="48">
        <v>1</v>
      </c>
      <c r="Z13" s="48">
        <v>1</v>
      </c>
    </row>
    <row r="14" spans="2:26" x14ac:dyDescent="0.3">
      <c r="B14" s="9" t="s">
        <v>62</v>
      </c>
      <c r="C14" s="2" t="str">
        <f t="array" ref="C14:C20">_xlfn.SORTBY($B$4:$B$10, C4:C10, 1)</f>
        <v>A</v>
      </c>
      <c r="D14" s="2" t="str">
        <f t="array" ref="D14:D20">_xlfn.SORTBY(B4:B10,D4:D10)</f>
        <v>C</v>
      </c>
      <c r="E14" s="2" t="str">
        <f t="array" ref="E14:E20">_xlfn.SORTBY(B4:B10,E4:E10)</f>
        <v>A</v>
      </c>
      <c r="F14" s="2" t="str">
        <f t="array" ref="F14:F20">_xlfn.SORTBY(B4:B10,F4:F10)</f>
        <v>C</v>
      </c>
      <c r="G14" s="2" t="str">
        <f t="array" ref="G14:G20">_xlfn.SORTBY(B4:B10,G4:G10)</f>
        <v>D</v>
      </c>
      <c r="J14" s="11" t="str">
        <f t="array" ref="J14:J20">_xlfn.SORTBY(B4:B10,L4:L10)</f>
        <v>C</v>
      </c>
      <c r="K14" s="38" t="str">
        <f t="array" ref="K14:K20">_xlfn.SORTBY(B4:B10,M4:M10)</f>
        <v>C</v>
      </c>
      <c r="L14" s="37" t="s">
        <v>10</v>
      </c>
      <c r="Q14" s="8"/>
      <c r="R14" s="8"/>
    </row>
    <row r="15" spans="2:26" x14ac:dyDescent="0.3">
      <c r="B15" s="9" t="s">
        <v>63</v>
      </c>
      <c r="C15" s="2" t="str">
        <v>C</v>
      </c>
      <c r="D15" s="2" t="str">
        <v>G</v>
      </c>
      <c r="E15" s="2" t="str">
        <v>B</v>
      </c>
      <c r="F15" s="2" t="str">
        <v>D</v>
      </c>
      <c r="G15" s="2" t="str">
        <v>B</v>
      </c>
      <c r="J15" s="36" t="str">
        <v>G</v>
      </c>
      <c r="K15" s="31" t="str">
        <v>D</v>
      </c>
      <c r="L15" s="32" t="s">
        <v>11</v>
      </c>
      <c r="M15" s="28" t="s">
        <v>64</v>
      </c>
      <c r="Q15" s="8"/>
      <c r="R15" s="8"/>
    </row>
    <row r="16" spans="2:26" x14ac:dyDescent="0.3">
      <c r="B16" s="9" t="s">
        <v>65</v>
      </c>
      <c r="C16" s="2" t="str">
        <v>D</v>
      </c>
      <c r="D16" s="2" t="str">
        <v>D</v>
      </c>
      <c r="E16" s="2" t="str">
        <v>F</v>
      </c>
      <c r="F16" s="2" t="str">
        <v>E</v>
      </c>
      <c r="G16" s="2" t="str">
        <v>C</v>
      </c>
      <c r="J16" s="24" t="str">
        <v>A</v>
      </c>
      <c r="K16" s="1" t="str">
        <v>G</v>
      </c>
      <c r="L16" s="37" t="s">
        <v>15</v>
      </c>
      <c r="Q16" s="8"/>
      <c r="R16" s="8"/>
    </row>
    <row r="17" spans="1:27" ht="55.2" customHeight="1" x14ac:dyDescent="0.3">
      <c r="A17" s="5"/>
      <c r="B17" s="9" t="s">
        <v>66</v>
      </c>
      <c r="C17" s="2" t="str">
        <v>G</v>
      </c>
      <c r="D17" s="2" t="str">
        <v>A</v>
      </c>
      <c r="E17" s="2" t="str">
        <v>C</v>
      </c>
      <c r="F17" s="2" t="str">
        <v>A</v>
      </c>
      <c r="G17" s="2" t="str">
        <v>G</v>
      </c>
      <c r="J17" s="27" t="str">
        <v>D</v>
      </c>
      <c r="K17" s="25" t="str">
        <v>A</v>
      </c>
      <c r="L17" s="25" t="s">
        <v>12</v>
      </c>
      <c r="Q17" s="8"/>
      <c r="R17" s="4" t="s">
        <v>0</v>
      </c>
      <c r="S17" s="15" t="s">
        <v>1</v>
      </c>
      <c r="T17" s="15" t="s">
        <v>2</v>
      </c>
      <c r="U17" s="15" t="s">
        <v>3</v>
      </c>
      <c r="V17" s="15" t="s">
        <v>4</v>
      </c>
      <c r="W17" s="15" t="s">
        <v>5</v>
      </c>
      <c r="X17" s="17" t="s">
        <v>8</v>
      </c>
      <c r="Y17" s="33" t="s">
        <v>9</v>
      </c>
      <c r="Z17" s="14" t="s">
        <v>52</v>
      </c>
      <c r="AA17" s="18" t="s">
        <v>53</v>
      </c>
    </row>
    <row r="18" spans="1:27" x14ac:dyDescent="0.3">
      <c r="A18" s="5"/>
      <c r="B18" s="9" t="s">
        <v>67</v>
      </c>
      <c r="C18" s="2" t="str">
        <v>B</v>
      </c>
      <c r="D18" s="2" t="str">
        <v>E</v>
      </c>
      <c r="E18" s="2" t="str">
        <v>E</v>
      </c>
      <c r="F18" s="2" t="str">
        <v>B</v>
      </c>
      <c r="G18" s="2" t="str">
        <v>A</v>
      </c>
      <c r="J18" s="30" t="str">
        <v>B</v>
      </c>
      <c r="K18" s="29" t="str">
        <v>B</v>
      </c>
      <c r="L18" s="32" t="s">
        <v>14</v>
      </c>
      <c r="M18" s="28" t="s">
        <v>64</v>
      </c>
      <c r="R18" s="10" t="s">
        <v>10</v>
      </c>
      <c r="S18" s="2">
        <f t="shared" ref="S18:W24" si="3">C4*S$13</f>
        <v>2</v>
      </c>
      <c r="T18" s="2">
        <f t="shared" si="3"/>
        <v>4</v>
      </c>
      <c r="U18" s="2">
        <f t="shared" si="3"/>
        <v>1</v>
      </c>
      <c r="V18" s="2">
        <f t="shared" si="3"/>
        <v>3</v>
      </c>
      <c r="W18" s="2">
        <f t="shared" si="3"/>
        <v>4</v>
      </c>
      <c r="X18" s="6">
        <f t="shared" ref="X18:X24" si="4">X$13*J4</f>
        <v>0</v>
      </c>
      <c r="Y18" s="1">
        <f t="shared" ref="Y18:Y24" si="5">SUM(S18:W18)</f>
        <v>14</v>
      </c>
      <c r="Z18" s="26">
        <f t="shared" ref="Z18:Z24" si="6">SUMPRODUCT($C$1:$E$1,S18:U18)/SUM($C$1:$E$1)</f>
        <v>2.3333333333333335</v>
      </c>
      <c r="AA18" s="26">
        <f t="shared" ref="AA18:AA24" si="7">SUMPRODUCT(S18:W18,$C$2:$G$2)/SUM($C$2:$G$2)</f>
        <v>3</v>
      </c>
    </row>
    <row r="19" spans="1:27" x14ac:dyDescent="0.3">
      <c r="A19" s="5"/>
      <c r="B19" s="9" t="s">
        <v>68</v>
      </c>
      <c r="C19" s="2" t="str">
        <v>E</v>
      </c>
      <c r="D19" s="2" t="str">
        <v>F</v>
      </c>
      <c r="E19" s="2" t="str">
        <v>G</v>
      </c>
      <c r="F19" s="2" t="str">
        <v>G</v>
      </c>
      <c r="G19" s="2" t="str">
        <v>F</v>
      </c>
      <c r="J19" s="30" t="str">
        <v>E</v>
      </c>
      <c r="K19" s="29" t="str">
        <v>E</v>
      </c>
      <c r="L19" s="23" t="s">
        <v>16</v>
      </c>
      <c r="R19" s="10" t="s">
        <v>11</v>
      </c>
      <c r="S19" s="2">
        <f t="shared" si="3"/>
        <v>3</v>
      </c>
      <c r="T19" s="2">
        <f t="shared" si="3"/>
        <v>5</v>
      </c>
      <c r="U19" s="2">
        <f t="shared" si="3"/>
        <v>2</v>
      </c>
      <c r="V19" s="2">
        <f t="shared" si="3"/>
        <v>3</v>
      </c>
      <c r="W19" s="2">
        <f t="shared" si="3"/>
        <v>3</v>
      </c>
      <c r="X19" s="6">
        <f t="shared" si="4"/>
        <v>1</v>
      </c>
      <c r="Y19" s="1">
        <f t="shared" si="5"/>
        <v>16</v>
      </c>
      <c r="Z19" s="26">
        <f t="shared" si="6"/>
        <v>3.3333333333333335</v>
      </c>
      <c r="AA19" s="26">
        <f t="shared" si="7"/>
        <v>3.1428571428571428</v>
      </c>
    </row>
    <row r="20" spans="1:27" x14ac:dyDescent="0.3">
      <c r="B20" s="9" t="s">
        <v>69</v>
      </c>
      <c r="C20" s="2" t="str">
        <v>F</v>
      </c>
      <c r="D20" s="2" t="str">
        <v>B</v>
      </c>
      <c r="E20" s="2" t="str">
        <v>D</v>
      </c>
      <c r="F20" s="2" t="str">
        <v>F</v>
      </c>
      <c r="G20" s="2" t="str">
        <v>E</v>
      </c>
      <c r="J20" s="24" t="str">
        <v>F</v>
      </c>
      <c r="K20" s="25" t="str">
        <v>F</v>
      </c>
      <c r="L20" s="23" t="s">
        <v>13</v>
      </c>
      <c r="R20" s="10" t="s">
        <v>12</v>
      </c>
      <c r="S20" s="2">
        <f t="shared" si="3"/>
        <v>2</v>
      </c>
      <c r="T20" s="2">
        <f t="shared" si="3"/>
        <v>1</v>
      </c>
      <c r="U20" s="2">
        <f t="shared" si="3"/>
        <v>3</v>
      </c>
      <c r="V20" s="2">
        <f t="shared" si="3"/>
        <v>2</v>
      </c>
      <c r="W20" s="2">
        <f t="shared" si="3"/>
        <v>3</v>
      </c>
      <c r="X20" s="6">
        <f t="shared" si="4"/>
        <v>0</v>
      </c>
      <c r="Y20" s="1">
        <f t="shared" si="5"/>
        <v>11</v>
      </c>
      <c r="Z20" s="26">
        <f t="shared" si="6"/>
        <v>2</v>
      </c>
      <c r="AA20" s="26">
        <f t="shared" si="7"/>
        <v>2.2857142857142856</v>
      </c>
    </row>
    <row r="21" spans="1:27" x14ac:dyDescent="0.3">
      <c r="I21" s="39" t="s">
        <v>70</v>
      </c>
      <c r="J21" s="40" t="s">
        <v>71</v>
      </c>
      <c r="K21" s="40" t="s">
        <v>72</v>
      </c>
      <c r="L21" s="40" t="s">
        <v>73</v>
      </c>
      <c r="R21" s="10" t="s">
        <v>13</v>
      </c>
      <c r="S21" s="2">
        <f t="shared" si="3"/>
        <v>2</v>
      </c>
      <c r="T21" s="2">
        <f t="shared" si="3"/>
        <v>2</v>
      </c>
      <c r="U21" s="2">
        <f t="shared" si="3"/>
        <v>5</v>
      </c>
      <c r="V21" s="2">
        <f t="shared" si="3"/>
        <v>2</v>
      </c>
      <c r="W21" s="2">
        <f t="shared" si="3"/>
        <v>2</v>
      </c>
      <c r="X21" s="6">
        <f t="shared" si="4"/>
        <v>0</v>
      </c>
      <c r="Y21" s="1">
        <f t="shared" si="5"/>
        <v>13</v>
      </c>
      <c r="Z21" s="26">
        <f t="shared" si="6"/>
        <v>3</v>
      </c>
      <c r="AA21" s="26">
        <f t="shared" si="7"/>
        <v>2.4285714285714284</v>
      </c>
    </row>
    <row r="22" spans="1:27" x14ac:dyDescent="0.3">
      <c r="R22" s="10" t="s">
        <v>14</v>
      </c>
      <c r="S22" s="2">
        <f t="shared" si="3"/>
        <v>3</v>
      </c>
      <c r="T22" s="2">
        <f t="shared" si="3"/>
        <v>4</v>
      </c>
      <c r="U22" s="2">
        <f t="shared" si="3"/>
        <v>3</v>
      </c>
      <c r="V22" s="2">
        <f t="shared" si="3"/>
        <v>2</v>
      </c>
      <c r="W22" s="2">
        <f t="shared" si="3"/>
        <v>5</v>
      </c>
      <c r="X22" s="6">
        <f t="shared" si="4"/>
        <v>1</v>
      </c>
      <c r="Y22" s="1">
        <f t="shared" si="5"/>
        <v>17</v>
      </c>
      <c r="Z22" s="26">
        <f t="shared" si="6"/>
        <v>3.3333333333333335</v>
      </c>
      <c r="AA22" s="26">
        <f t="shared" si="7"/>
        <v>3.4285714285714284</v>
      </c>
    </row>
    <row r="23" spans="1:27" x14ac:dyDescent="0.3">
      <c r="R23" s="10" t="s">
        <v>15</v>
      </c>
      <c r="S23" s="2">
        <f t="shared" si="3"/>
        <v>5</v>
      </c>
      <c r="T23" s="2">
        <f t="shared" si="3"/>
        <v>4</v>
      </c>
      <c r="U23" s="2">
        <f t="shared" si="3"/>
        <v>2</v>
      </c>
      <c r="V23" s="2">
        <f t="shared" si="3"/>
        <v>4</v>
      </c>
      <c r="W23" s="2">
        <f t="shared" si="3"/>
        <v>4</v>
      </c>
      <c r="X23" s="6">
        <f t="shared" si="4"/>
        <v>0</v>
      </c>
      <c r="Y23" s="1">
        <f t="shared" si="5"/>
        <v>19</v>
      </c>
      <c r="Z23" s="26">
        <f t="shared" si="6"/>
        <v>3.6666666666666665</v>
      </c>
      <c r="AA23" s="26">
        <f t="shared" si="7"/>
        <v>3.8571428571428572</v>
      </c>
    </row>
    <row r="24" spans="1:27" ht="41.4" customHeight="1" x14ac:dyDescent="0.3">
      <c r="B24" s="42" t="s">
        <v>28</v>
      </c>
      <c r="C24" s="15" t="s">
        <v>1</v>
      </c>
      <c r="D24" s="15" t="s">
        <v>2</v>
      </c>
      <c r="E24" s="15" t="s">
        <v>3</v>
      </c>
      <c r="F24" s="15" t="s">
        <v>4</v>
      </c>
      <c r="G24" s="15" t="s">
        <v>5</v>
      </c>
      <c r="H24" s="17" t="s">
        <v>8</v>
      </c>
      <c r="I24" s="15" t="s">
        <v>29</v>
      </c>
      <c r="R24" s="10" t="s">
        <v>16</v>
      </c>
      <c r="S24" s="2">
        <f t="shared" si="3"/>
        <v>2</v>
      </c>
      <c r="T24" s="2">
        <f t="shared" si="3"/>
        <v>1</v>
      </c>
      <c r="U24" s="2">
        <f t="shared" si="3"/>
        <v>3</v>
      </c>
      <c r="V24" s="2">
        <f t="shared" si="3"/>
        <v>3</v>
      </c>
      <c r="W24" s="2">
        <f t="shared" si="3"/>
        <v>3</v>
      </c>
      <c r="X24" s="6">
        <f t="shared" si="4"/>
        <v>0</v>
      </c>
      <c r="Y24" s="1">
        <f t="shared" si="5"/>
        <v>12</v>
      </c>
      <c r="Z24" s="26">
        <f t="shared" si="6"/>
        <v>2</v>
      </c>
      <c r="AA24" s="26">
        <f t="shared" si="7"/>
        <v>2.5714285714285716</v>
      </c>
    </row>
    <row r="25" spans="1:27" x14ac:dyDescent="0.3">
      <c r="B25" s="43">
        <v>1</v>
      </c>
      <c r="C25" s="2">
        <v>0.3</v>
      </c>
      <c r="D25" s="2">
        <v>0.2</v>
      </c>
      <c r="E25" s="2">
        <v>0.4</v>
      </c>
      <c r="F25" s="2">
        <v>0.1</v>
      </c>
      <c r="G25" s="2">
        <v>0.1</v>
      </c>
      <c r="H25" s="6">
        <v>0.2</v>
      </c>
      <c r="I25" s="1" t="str">
        <f t="shared" ref="I25:I34" si="8">C25&amp;"x1+ "&amp;D25&amp;"x2+ "&amp;E25&amp;"x3+ "&amp;F25&amp;"x4+ "&amp;G25&amp;"x5+ -"&amp;H25&amp;"x6"</f>
        <v>0,3x1+ 0,2x2+ 0,4x3+ 0,1x4+ 0,1x5+ -0,2x6</v>
      </c>
    </row>
    <row r="26" spans="1:27" x14ac:dyDescent="0.3">
      <c r="B26" s="43">
        <v>2</v>
      </c>
      <c r="C26" s="2">
        <v>0.25</v>
      </c>
      <c r="D26" s="2">
        <v>0.15</v>
      </c>
      <c r="E26" s="2">
        <v>0.1</v>
      </c>
      <c r="F26" s="2">
        <v>0.1</v>
      </c>
      <c r="G26" s="2">
        <v>0.1</v>
      </c>
      <c r="H26" s="6">
        <v>0.3</v>
      </c>
      <c r="I26" s="1" t="str">
        <f t="shared" si="8"/>
        <v>0,25x1+ 0,15x2+ 0,1x3+ 0,1x4+ 0,1x5+ -0,3x6</v>
      </c>
    </row>
    <row r="27" spans="1:27" ht="41.4" customHeight="1" x14ac:dyDescent="0.3">
      <c r="B27" s="43">
        <v>3</v>
      </c>
      <c r="C27" s="2">
        <v>0.15</v>
      </c>
      <c r="D27" s="2">
        <v>0.3</v>
      </c>
      <c r="E27" s="2">
        <v>0.1</v>
      </c>
      <c r="F27" s="2">
        <v>0.1</v>
      </c>
      <c r="G27" s="2">
        <v>0.15</v>
      </c>
      <c r="H27" s="6">
        <v>0.2</v>
      </c>
      <c r="I27" s="1" t="str">
        <f t="shared" si="8"/>
        <v>0,15x1+ 0,3x2+ 0,1x3+ 0,1x4+ 0,15x5+ -0,2x6</v>
      </c>
      <c r="R27" s="4" t="s">
        <v>0</v>
      </c>
      <c r="S27" s="15" t="s">
        <v>1</v>
      </c>
      <c r="T27" s="15" t="s">
        <v>2</v>
      </c>
      <c r="U27" s="15" t="s">
        <v>3</v>
      </c>
      <c r="V27" s="15" t="s">
        <v>4</v>
      </c>
      <c r="W27" s="15" t="s">
        <v>5</v>
      </c>
      <c r="X27" s="17" t="s">
        <v>8</v>
      </c>
      <c r="Y27" s="33" t="s">
        <v>74</v>
      </c>
    </row>
    <row r="28" spans="1:27" x14ac:dyDescent="0.3">
      <c r="B28" s="43">
        <v>4</v>
      </c>
      <c r="C28" s="2">
        <v>0.1</v>
      </c>
      <c r="D28" s="2">
        <v>0.1</v>
      </c>
      <c r="E28" s="2">
        <v>0.4</v>
      </c>
      <c r="F28" s="2">
        <v>0.15</v>
      </c>
      <c r="G28" s="2">
        <v>0.1</v>
      </c>
      <c r="H28" s="6">
        <v>0.15</v>
      </c>
      <c r="I28" s="1" t="str">
        <f t="shared" si="8"/>
        <v>0,1x1+ 0,1x2+ 0,4x3+ 0,15x4+ 0,1x5+ -0,15x6</v>
      </c>
      <c r="R28" s="10" t="s">
        <v>10</v>
      </c>
      <c r="S28" s="2">
        <f t="shared" ref="S28:X34" si="9">S18</f>
        <v>2</v>
      </c>
      <c r="T28" s="2">
        <f t="shared" si="9"/>
        <v>4</v>
      </c>
      <c r="U28" s="2">
        <f t="shared" si="9"/>
        <v>1</v>
      </c>
      <c r="V28" s="2">
        <f t="shared" si="9"/>
        <v>3</v>
      </c>
      <c r="W28" s="2">
        <f t="shared" si="9"/>
        <v>4</v>
      </c>
      <c r="X28" s="2">
        <f t="shared" si="9"/>
        <v>0</v>
      </c>
      <c r="Y28" s="1">
        <f t="shared" ref="Y28:Y34" si="10">SUM(S28:W28)</f>
        <v>14</v>
      </c>
    </row>
    <row r="29" spans="1:27" x14ac:dyDescent="0.3">
      <c r="B29" s="43">
        <v>5</v>
      </c>
      <c r="C29" s="2">
        <v>0.05</v>
      </c>
      <c r="D29" s="2">
        <v>0.05</v>
      </c>
      <c r="E29" s="2">
        <v>0.5</v>
      </c>
      <c r="F29" s="2">
        <v>0.15</v>
      </c>
      <c r="G29" s="2">
        <v>0.1</v>
      </c>
      <c r="H29" s="6">
        <v>0.15</v>
      </c>
      <c r="I29" s="1" t="str">
        <f t="shared" si="8"/>
        <v>0,05x1+ 0,05x2+ 0,5x3+ 0,15x4+ 0,1x5+ -0,15x6</v>
      </c>
      <c r="R29" s="10" t="s">
        <v>11</v>
      </c>
      <c r="S29" s="2">
        <f t="shared" si="9"/>
        <v>3</v>
      </c>
      <c r="T29" s="2">
        <f t="shared" si="9"/>
        <v>5</v>
      </c>
      <c r="U29" s="2">
        <f t="shared" si="9"/>
        <v>2</v>
      </c>
      <c r="V29" s="2">
        <f t="shared" si="9"/>
        <v>3</v>
      </c>
      <c r="W29" s="2">
        <f t="shared" si="9"/>
        <v>3</v>
      </c>
      <c r="X29" s="2">
        <f t="shared" si="9"/>
        <v>1</v>
      </c>
      <c r="Y29" s="1">
        <f t="shared" si="10"/>
        <v>16</v>
      </c>
    </row>
    <row r="30" spans="1:27" x14ac:dyDescent="0.3">
      <c r="B30" s="43">
        <v>6</v>
      </c>
      <c r="C30" s="2">
        <v>0.05</v>
      </c>
      <c r="D30" s="2">
        <v>0.1</v>
      </c>
      <c r="E30" s="2">
        <v>0.35</v>
      </c>
      <c r="F30" s="2">
        <v>0.15</v>
      </c>
      <c r="G30" s="2">
        <v>0.1</v>
      </c>
      <c r="H30" s="6">
        <v>0.25</v>
      </c>
      <c r="I30" s="1" t="str">
        <f t="shared" si="8"/>
        <v>0,05x1+ 0,1x2+ 0,35x3+ 0,15x4+ 0,1x5+ -0,25x6</v>
      </c>
      <c r="R30" s="10" t="s">
        <v>12</v>
      </c>
      <c r="S30" s="2">
        <f t="shared" si="9"/>
        <v>2</v>
      </c>
      <c r="T30" s="2">
        <f t="shared" si="9"/>
        <v>1</v>
      </c>
      <c r="U30" s="2">
        <f t="shared" si="9"/>
        <v>3</v>
      </c>
      <c r="V30" s="2">
        <f t="shared" si="9"/>
        <v>2</v>
      </c>
      <c r="W30" s="2">
        <f t="shared" si="9"/>
        <v>3</v>
      </c>
      <c r="X30" s="2">
        <f t="shared" si="9"/>
        <v>0</v>
      </c>
      <c r="Y30" s="1">
        <f t="shared" si="10"/>
        <v>11</v>
      </c>
    </row>
    <row r="31" spans="1:27" x14ac:dyDescent="0.3">
      <c r="B31" s="43">
        <v>7</v>
      </c>
      <c r="C31" s="2">
        <v>0.1</v>
      </c>
      <c r="D31" s="2">
        <v>0.1</v>
      </c>
      <c r="E31" s="2">
        <v>0.15</v>
      </c>
      <c r="F31" s="2">
        <v>0.35</v>
      </c>
      <c r="G31" s="2">
        <v>0.2</v>
      </c>
      <c r="H31" s="6">
        <v>0.1</v>
      </c>
      <c r="I31" s="1" t="str">
        <f t="shared" si="8"/>
        <v>0,1x1+ 0,1x2+ 0,15x3+ 0,35x4+ 0,2x5+ -0,1x6</v>
      </c>
      <c r="R31" s="10" t="s">
        <v>13</v>
      </c>
      <c r="S31" s="2">
        <f t="shared" si="9"/>
        <v>2</v>
      </c>
      <c r="T31" s="2">
        <f t="shared" si="9"/>
        <v>2</v>
      </c>
      <c r="U31" s="2">
        <f t="shared" si="9"/>
        <v>5</v>
      </c>
      <c r="V31" s="2">
        <f t="shared" si="9"/>
        <v>2</v>
      </c>
      <c r="W31" s="2">
        <f t="shared" si="9"/>
        <v>2</v>
      </c>
      <c r="X31" s="2">
        <f t="shared" si="9"/>
        <v>0</v>
      </c>
      <c r="Y31" s="1">
        <f t="shared" si="10"/>
        <v>13</v>
      </c>
    </row>
    <row r="32" spans="1:27" x14ac:dyDescent="0.3">
      <c r="B32" s="41">
        <v>8</v>
      </c>
      <c r="C32" s="2">
        <v>0.1</v>
      </c>
      <c r="D32" s="2">
        <v>0.1</v>
      </c>
      <c r="E32" s="2">
        <v>0.65</v>
      </c>
      <c r="F32" s="2">
        <v>0.25</v>
      </c>
      <c r="G32" s="2">
        <v>0.3</v>
      </c>
      <c r="H32" s="6">
        <v>0.1</v>
      </c>
      <c r="I32" s="1" t="str">
        <f t="shared" si="8"/>
        <v>0,1x1+ 0,1x2+ 0,65x3+ 0,25x4+ 0,3x5+ -0,1x6</v>
      </c>
      <c r="R32" s="10" t="s">
        <v>14</v>
      </c>
      <c r="S32" s="2">
        <f t="shared" si="9"/>
        <v>3</v>
      </c>
      <c r="T32" s="2">
        <f t="shared" si="9"/>
        <v>4</v>
      </c>
      <c r="U32" s="2">
        <f t="shared" si="9"/>
        <v>3</v>
      </c>
      <c r="V32" s="2">
        <f t="shared" si="9"/>
        <v>2</v>
      </c>
      <c r="W32" s="2">
        <f t="shared" si="9"/>
        <v>5</v>
      </c>
      <c r="X32" s="2">
        <f t="shared" si="9"/>
        <v>1</v>
      </c>
      <c r="Y32" s="1">
        <f t="shared" si="10"/>
        <v>17</v>
      </c>
    </row>
    <row r="33" spans="2:25" x14ac:dyDescent="0.3">
      <c r="B33" s="41">
        <v>9</v>
      </c>
      <c r="C33" s="2">
        <v>0.2</v>
      </c>
      <c r="D33" s="2">
        <v>0.15</v>
      </c>
      <c r="E33" s="2">
        <v>0.2</v>
      </c>
      <c r="F33" s="2">
        <v>0.15</v>
      </c>
      <c r="G33" s="2">
        <v>0.1</v>
      </c>
      <c r="H33" s="6">
        <v>0.2</v>
      </c>
      <c r="I33" s="1" t="str">
        <f t="shared" si="8"/>
        <v>0,2x1+ 0,15x2+ 0,2x3+ 0,15x4+ 0,1x5+ -0,2x6</v>
      </c>
      <c r="R33" s="10" t="s">
        <v>15</v>
      </c>
      <c r="S33" s="2">
        <f t="shared" si="9"/>
        <v>5</v>
      </c>
      <c r="T33" s="2">
        <f t="shared" si="9"/>
        <v>4</v>
      </c>
      <c r="U33" s="2">
        <f t="shared" si="9"/>
        <v>2</v>
      </c>
      <c r="V33" s="2">
        <f t="shared" si="9"/>
        <v>4</v>
      </c>
      <c r="W33" s="2">
        <f t="shared" si="9"/>
        <v>4</v>
      </c>
      <c r="X33" s="2">
        <f t="shared" si="9"/>
        <v>0</v>
      </c>
      <c r="Y33" s="1">
        <f t="shared" si="10"/>
        <v>19</v>
      </c>
    </row>
    <row r="34" spans="2:25" x14ac:dyDescent="0.3">
      <c r="B34" s="41">
        <v>10</v>
      </c>
      <c r="C34" s="2">
        <v>0.15</v>
      </c>
      <c r="D34" s="2">
        <v>0.15</v>
      </c>
      <c r="E34" s="2">
        <v>0.15</v>
      </c>
      <c r="F34" s="2">
        <v>0.15</v>
      </c>
      <c r="G34" s="2">
        <v>0.1</v>
      </c>
      <c r="H34" s="6">
        <v>0.3</v>
      </c>
      <c r="I34" s="1" t="str">
        <f t="shared" si="8"/>
        <v>0,15x1+ 0,15x2+ 0,15x3+ 0,15x4+ 0,1x5+ -0,3x6</v>
      </c>
      <c r="R34" s="10" t="s">
        <v>16</v>
      </c>
      <c r="S34" s="2">
        <f t="shared" si="9"/>
        <v>2</v>
      </c>
      <c r="T34" s="2">
        <f t="shared" si="9"/>
        <v>1</v>
      </c>
      <c r="U34" s="2">
        <f t="shared" si="9"/>
        <v>3</v>
      </c>
      <c r="V34" s="2">
        <f t="shared" si="9"/>
        <v>3</v>
      </c>
      <c r="W34" s="2">
        <f t="shared" si="9"/>
        <v>3</v>
      </c>
      <c r="X34" s="2">
        <f t="shared" si="9"/>
        <v>0</v>
      </c>
      <c r="Y34" s="1">
        <f t="shared" si="10"/>
        <v>12</v>
      </c>
    </row>
    <row r="36" spans="2:25" ht="57" customHeight="1" x14ac:dyDescent="0.3">
      <c r="B36" s="47" t="s">
        <v>75</v>
      </c>
      <c r="C36" s="46">
        <v>1</v>
      </c>
      <c r="D36" s="46">
        <v>2</v>
      </c>
      <c r="E36" s="46">
        <v>3</v>
      </c>
      <c r="F36" s="46">
        <v>4</v>
      </c>
      <c r="G36" s="46">
        <v>5</v>
      </c>
      <c r="H36" s="46">
        <v>6</v>
      </c>
      <c r="I36" s="46">
        <v>7</v>
      </c>
      <c r="J36" s="46">
        <v>8</v>
      </c>
      <c r="K36" s="46">
        <v>9</v>
      </c>
      <c r="L36" s="46">
        <v>10</v>
      </c>
      <c r="R36" s="45" t="s">
        <v>77</v>
      </c>
    </row>
    <row r="37" spans="2:25" x14ac:dyDescent="0.3">
      <c r="B37" s="10" t="s">
        <v>10</v>
      </c>
      <c r="C37">
        <f>_xlfn.IFNA(
  SUMPRODUCT(
    _xlfn.XLOOKUP(TRIM($B37), $R$4:$R$10, $S$4:$W$10),
    _xlfn.XLOOKUP(--TRIM(C$36), $B$25:$B$34, $C$25:$G$34)
  )
  - _xlfn.XLOOKUP(TRIM($B37), $R$4:$R$10, $X$4:$X$10)
    * _xlfn.XLOOKUP(--TRIM(C$36), $B$25:$B$34, $H$25:$H$34), ""
)</f>
        <v>2.4999999999999996</v>
      </c>
      <c r="D37">
        <f>_xlfn.IFNA(
  SUMPRODUCT(
    _xlfn.XLOOKUP(TRIM($B37), $R$4:$R$10, $S$4:$W$10),
    _xlfn.XLOOKUP(--TRIM(D$36), $B$25:$B$34, $C$25:$G$34)
  )
  - _xlfn.XLOOKUP(TRIM($B37), $R$4:$R$10, $X$4:$X$10)
    * _xlfn.XLOOKUP(--TRIM(D$36), $B$25:$B$34, $H$25:$H$34), ""
)</f>
        <v>1.9000000000000004</v>
      </c>
      <c r="E37">
        <f t="shared" ref="E37:L43" si="11">_xlfn.IFNA(
SUMPRODUCT(
_xlfn.XLOOKUP(TRIM($B37), $R$4:$R$10, $S$4:$W$10),
_xlfn.XLOOKUP(--TRIM(E$36), $B$25:$B$34, $C$25:$G$34)
)
- _xlfn.XLOOKUP(TRIM($B37), $R$4:$R$10, $X$4:$X$10)
* _xlfn.XLOOKUP(--TRIM(E$36), $B$25:$B$34, $H$25:$H$34), ""
)</f>
        <v>2.5</v>
      </c>
      <c r="F37">
        <f t="shared" si="11"/>
        <v>1.85</v>
      </c>
      <c r="G37">
        <f t="shared" si="11"/>
        <v>1.65</v>
      </c>
      <c r="H37">
        <f t="shared" si="11"/>
        <v>1.6999999999999997</v>
      </c>
      <c r="I37">
        <f t="shared" si="11"/>
        <v>2.5999999999999996</v>
      </c>
      <c r="J37">
        <f t="shared" si="11"/>
        <v>3.2</v>
      </c>
      <c r="K37">
        <f t="shared" si="11"/>
        <v>2.0499999999999998</v>
      </c>
      <c r="L37">
        <f t="shared" si="11"/>
        <v>1.9</v>
      </c>
    </row>
    <row r="38" spans="2:25" x14ac:dyDescent="0.3">
      <c r="B38" s="10" t="s">
        <v>11</v>
      </c>
      <c r="C38">
        <f>_xlfn.IFNA(
  SUMPRODUCT(
    _xlfn.XLOOKUP(TRIM($B38), $R$4:$R$10, $S$4:$W$10),
    _xlfn.XLOOKUP(--TRIM(C$36), $B$25:$B$34, $C$25:$G$34)
  )
  - _xlfn.XLOOKUP(TRIM($B38), $R$4:$R$10, $X$4:$X$10)
    * _xlfn.XLOOKUP(--TRIM(C$36), $B$25:$B$34, $H$25:$H$34), ""
)</f>
        <v>3.0999999999999996</v>
      </c>
      <c r="D38">
        <f t="shared" ref="D38:D43" si="12">_xlfn.IFNA(
SUMPRODUCT(
_xlfn.XLOOKUP(TRIM($B38), $R$4:$R$10, $S$4:$W$10),
_xlfn.XLOOKUP(--TRIM(D$36), $B$25:$B$34, $C$25:$G$34)
)
- _xlfn.XLOOKUP(TRIM($B38), $R$4:$R$10, $X$4:$X$10)
* _xlfn.XLOOKUP(--TRIM(D$36), $B$25:$B$34, $H$25:$H$34), ""
)</f>
        <v>1.9999999999999998</v>
      </c>
      <c r="E38">
        <f t="shared" si="11"/>
        <v>2.7</v>
      </c>
      <c r="F38">
        <f t="shared" si="11"/>
        <v>2.1999999999999997</v>
      </c>
      <c r="G38">
        <f t="shared" si="11"/>
        <v>2</v>
      </c>
      <c r="H38">
        <f t="shared" si="11"/>
        <v>1.85</v>
      </c>
      <c r="I38">
        <f t="shared" si="11"/>
        <v>2.65</v>
      </c>
      <c r="J38">
        <f t="shared" si="11"/>
        <v>3.65</v>
      </c>
      <c r="K38">
        <f t="shared" si="11"/>
        <v>2.2999999999999998</v>
      </c>
      <c r="L38">
        <f t="shared" si="11"/>
        <v>1.95</v>
      </c>
    </row>
    <row r="39" spans="2:25" x14ac:dyDescent="0.3">
      <c r="B39" s="10" t="s">
        <v>12</v>
      </c>
      <c r="C39">
        <f>_xlfn.IFNA(
SUMPRODUCT(
_xlfn.XLOOKUP(TRIM($B39), $R$4:$R$10, $S$4:$W$10),
_xlfn.XLOOKUP(--TRIM(C$36), $B$25:$B$34, $C$25:$G$34)
)
- _xlfn.XLOOKUP(TRIM($B39), $R$4:$R$10, $X$4:$X$10)
* _xlfn.XLOOKUP(--TRIM(C$36), $B$25:$B$34, $H$25:$H$34), ""
)</f>
        <v>2.5</v>
      </c>
      <c r="D39">
        <f t="shared" si="12"/>
        <v>1.4500000000000002</v>
      </c>
      <c r="E39">
        <f t="shared" si="11"/>
        <v>1.55</v>
      </c>
      <c r="F39">
        <f t="shared" si="11"/>
        <v>2.1000000000000005</v>
      </c>
      <c r="G39">
        <f t="shared" si="11"/>
        <v>2.25</v>
      </c>
      <c r="H39">
        <f t="shared" si="11"/>
        <v>1.8499999999999999</v>
      </c>
      <c r="I39">
        <f t="shared" si="11"/>
        <v>2.0499999999999998</v>
      </c>
      <c r="J39">
        <f t="shared" si="11"/>
        <v>3.65</v>
      </c>
      <c r="K39">
        <f t="shared" si="11"/>
        <v>1.7500000000000002</v>
      </c>
      <c r="L39">
        <f t="shared" si="11"/>
        <v>1.5</v>
      </c>
    </row>
    <row r="40" spans="2:25" x14ac:dyDescent="0.3">
      <c r="B40" s="10" t="s">
        <v>13</v>
      </c>
      <c r="C40">
        <f>_xlfn.IFNA(
SUMPRODUCT(
_xlfn.XLOOKUP(TRIM($B40), $R$4:$R$10, $S$4:$W$10),
_xlfn.XLOOKUP(--TRIM(C$36), $B$25:$B$34, $C$25:$G$34)
)
- _xlfn.XLOOKUP(TRIM($B40), $R$4:$R$10, $X$4:$X$10)
* _xlfn.XLOOKUP(--TRIM(C$36), $B$25:$B$34, $H$25:$H$34), ""
)</f>
        <v>3.4000000000000004</v>
      </c>
      <c r="D40">
        <f t="shared" si="12"/>
        <v>1.7</v>
      </c>
      <c r="E40">
        <f t="shared" si="11"/>
        <v>1.9</v>
      </c>
      <c r="F40">
        <f t="shared" si="11"/>
        <v>2.9</v>
      </c>
      <c r="G40">
        <f t="shared" si="11"/>
        <v>3.2</v>
      </c>
      <c r="H40">
        <f t="shared" si="11"/>
        <v>2.5499999999999998</v>
      </c>
      <c r="I40">
        <f t="shared" si="11"/>
        <v>2.25</v>
      </c>
      <c r="J40">
        <f t="shared" si="11"/>
        <v>4.75</v>
      </c>
      <c r="K40">
        <f t="shared" si="11"/>
        <v>2.2000000000000002</v>
      </c>
      <c r="L40">
        <f t="shared" si="11"/>
        <v>1.85</v>
      </c>
    </row>
    <row r="41" spans="2:25" x14ac:dyDescent="0.3">
      <c r="B41" s="10" t="s">
        <v>14</v>
      </c>
      <c r="C41">
        <f>_xlfn.IFNA(
SUMPRODUCT(
_xlfn.XLOOKUP(TRIM($B41), $R$4:$R$10, $S$4:$W$10),
_xlfn.XLOOKUP(--TRIM(C$36), $B$25:$B$34, $C$25:$G$34)
)
- _xlfn.XLOOKUP(TRIM($B41), $R$4:$R$10, $X$4:$X$10)
* _xlfn.XLOOKUP(--TRIM(C$36), $B$25:$B$34, $H$25:$H$34), ""
)</f>
        <v>3.4000000000000004</v>
      </c>
      <c r="D41">
        <f t="shared" si="12"/>
        <v>2.0500000000000003</v>
      </c>
      <c r="E41">
        <f t="shared" si="11"/>
        <v>2.6999999999999997</v>
      </c>
      <c r="F41">
        <f t="shared" si="11"/>
        <v>2.5500000000000003</v>
      </c>
      <c r="G41">
        <f t="shared" si="11"/>
        <v>2.5</v>
      </c>
      <c r="H41">
        <f t="shared" si="11"/>
        <v>2.15</v>
      </c>
      <c r="I41">
        <f t="shared" si="11"/>
        <v>2.7499999999999996</v>
      </c>
      <c r="J41">
        <f t="shared" si="11"/>
        <v>4.5500000000000007</v>
      </c>
      <c r="K41">
        <f t="shared" si="11"/>
        <v>2.4</v>
      </c>
      <c r="L41">
        <f t="shared" si="11"/>
        <v>1.9999999999999998</v>
      </c>
    </row>
    <row r="42" spans="2:25" x14ac:dyDescent="0.3">
      <c r="B42" s="10" t="s">
        <v>15</v>
      </c>
      <c r="C42">
        <f>_xlfn.IFNA(
SUMPRODUCT(
_xlfn.XLOOKUP(TRIM($B42), $R$4:$R$10, $S$4:$W$10),
_xlfn.XLOOKUP(--TRIM(C$36), $B$25:$B$34, $C$25:$G$34)
)
- _xlfn.XLOOKUP(TRIM($B42), $R$4:$R$10, $X$4:$X$10)
* _xlfn.XLOOKUP(--TRIM(C$36), $B$25:$B$34, $H$25:$H$34), ""
)</f>
        <v>3.8999999999999995</v>
      </c>
      <c r="D42">
        <f t="shared" si="12"/>
        <v>2.85</v>
      </c>
      <c r="E42">
        <f t="shared" si="11"/>
        <v>3.15</v>
      </c>
      <c r="F42">
        <f t="shared" si="11"/>
        <v>2.7</v>
      </c>
      <c r="G42">
        <f t="shared" si="11"/>
        <v>2.4499999999999997</v>
      </c>
      <c r="H42">
        <f t="shared" si="11"/>
        <v>2.35</v>
      </c>
      <c r="I42">
        <f t="shared" si="11"/>
        <v>3.3999999999999995</v>
      </c>
      <c r="J42">
        <f t="shared" si="11"/>
        <v>4.4000000000000004</v>
      </c>
      <c r="K42">
        <f t="shared" si="11"/>
        <v>3</v>
      </c>
      <c r="L42">
        <f t="shared" si="11"/>
        <v>2.65</v>
      </c>
    </row>
    <row r="43" spans="2:25" x14ac:dyDescent="0.3">
      <c r="B43" s="10" t="s">
        <v>16</v>
      </c>
      <c r="C43">
        <f>_xlfn.IFNA(
SUMPRODUCT(
_xlfn.XLOOKUP(TRIM($B43), $R$4:$R$10, $S$4:$W$10),
_xlfn.XLOOKUP(--TRIM(C$36), $B$25:$B$34, $C$25:$G$34)
)
- _xlfn.XLOOKUP(TRIM($B43), $R$4:$R$10, $X$4:$X$10)
* _xlfn.XLOOKUP(--TRIM(C$36), $B$25:$B$34, $H$25:$H$34), ""
)</f>
        <v>2.5999999999999996</v>
      </c>
      <c r="D43">
        <f t="shared" si="12"/>
        <v>1.55</v>
      </c>
      <c r="E43">
        <f t="shared" si="11"/>
        <v>1.6500000000000001</v>
      </c>
      <c r="F43">
        <f t="shared" si="11"/>
        <v>2.25</v>
      </c>
      <c r="G43">
        <f t="shared" si="11"/>
        <v>2.3999999999999995</v>
      </c>
      <c r="H43">
        <f t="shared" si="11"/>
        <v>1.9999999999999998</v>
      </c>
      <c r="I43">
        <f t="shared" si="11"/>
        <v>2.4</v>
      </c>
      <c r="J43">
        <f t="shared" si="11"/>
        <v>3.9</v>
      </c>
      <c r="K43">
        <f t="shared" si="11"/>
        <v>1.9000000000000001</v>
      </c>
      <c r="L43">
        <f t="shared" si="11"/>
        <v>1.65</v>
      </c>
    </row>
  </sheetData>
  <mergeCells count="6">
    <mergeCell ref="B12:B13"/>
    <mergeCell ref="E12:E13"/>
    <mergeCell ref="C12:C13"/>
    <mergeCell ref="G12:G13"/>
    <mergeCell ref="F12:F13"/>
    <mergeCell ref="D12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3"/>
  <sheetViews>
    <sheetView showGridLines="0" workbookViewId="0"/>
  </sheetViews>
  <sheetFormatPr defaultColWidth="8.6640625" defaultRowHeight="14.4" x14ac:dyDescent="0.3"/>
  <cols>
    <col min="1" max="1" width="8.6640625" customWidth="1"/>
    <col min="2" max="2" width="19" style="3" customWidth="1"/>
    <col min="3" max="7" width="13.6640625" customWidth="1"/>
    <col min="8" max="8" width="10.77734375" customWidth="1"/>
    <col min="9" max="9" width="18.44140625" customWidth="1"/>
    <col min="10" max="10" width="13.6640625" customWidth="1"/>
    <col min="11" max="11" width="16" customWidth="1"/>
    <col min="12" max="14" width="13.6640625" customWidth="1"/>
    <col min="15" max="15" width="12.109375" customWidth="1"/>
    <col min="16" max="16" width="13.109375" customWidth="1"/>
  </cols>
  <sheetData>
    <row r="1" spans="2:24" x14ac:dyDescent="0.3">
      <c r="B1" s="35" t="s">
        <v>50</v>
      </c>
      <c r="C1" s="34">
        <v>1</v>
      </c>
      <c r="D1" s="34">
        <v>1</v>
      </c>
      <c r="E1" s="34">
        <v>1</v>
      </c>
      <c r="F1" s="34">
        <v>1</v>
      </c>
      <c r="G1" s="34">
        <v>1</v>
      </c>
    </row>
    <row r="2" spans="2:24" x14ac:dyDescent="0.3">
      <c r="B2" s="35" t="s">
        <v>51</v>
      </c>
      <c r="C2" s="34">
        <v>1</v>
      </c>
      <c r="D2" s="34">
        <v>1</v>
      </c>
      <c r="E2" s="34">
        <v>1</v>
      </c>
      <c r="F2" s="34">
        <v>2</v>
      </c>
      <c r="G2" s="34">
        <v>2</v>
      </c>
    </row>
    <row r="3" spans="2:24" ht="41.4" customHeight="1" x14ac:dyDescent="0.3">
      <c r="B3" s="4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5" t="s">
        <v>5</v>
      </c>
      <c r="H3" s="16" t="s">
        <v>6</v>
      </c>
      <c r="I3" s="16" t="s">
        <v>7</v>
      </c>
      <c r="J3" s="17" t="s">
        <v>8</v>
      </c>
      <c r="K3" s="33" t="s">
        <v>9</v>
      </c>
      <c r="L3" s="14" t="s">
        <v>52</v>
      </c>
      <c r="M3" s="18" t="s">
        <v>53</v>
      </c>
      <c r="R3" s="4" t="s">
        <v>0</v>
      </c>
      <c r="S3" s="15" t="s">
        <v>1</v>
      </c>
      <c r="T3" s="15" t="s">
        <v>2</v>
      </c>
      <c r="U3" s="15" t="s">
        <v>3</v>
      </c>
      <c r="V3" s="15" t="s">
        <v>4</v>
      </c>
      <c r="W3" s="15" t="s">
        <v>5</v>
      </c>
      <c r="X3" s="17" t="s">
        <v>8</v>
      </c>
    </row>
    <row r="4" spans="2:24" x14ac:dyDescent="0.3">
      <c r="B4" s="10" t="s">
        <v>10</v>
      </c>
      <c r="C4" s="2">
        <v>2</v>
      </c>
      <c r="D4" s="2">
        <v>4</v>
      </c>
      <c r="E4" s="2">
        <v>1</v>
      </c>
      <c r="F4" s="2">
        <v>3</v>
      </c>
      <c r="G4" s="2">
        <v>4</v>
      </c>
      <c r="H4" s="6">
        <v>1</v>
      </c>
      <c r="I4" s="6">
        <v>0</v>
      </c>
      <c r="J4" s="6">
        <v>0</v>
      </c>
      <c r="K4" s="1">
        <f t="shared" ref="K4:K10" si="0">SUM(C4:G4)</f>
        <v>14</v>
      </c>
      <c r="L4" s="26">
        <f t="shared" ref="L4:L10" si="1">SUMPRODUCT($C$1:$E$1,C4:E4)/SUM($C$1:$E$1)</f>
        <v>2.3333333333333335</v>
      </c>
      <c r="M4" s="26">
        <f t="shared" ref="M4:M10" si="2">SUMPRODUCT(C4:G4,$C$2:$G$2)/SUM($C$2:$G$2)</f>
        <v>3</v>
      </c>
      <c r="R4" s="10" t="s">
        <v>10</v>
      </c>
      <c r="S4" s="2">
        <v>2</v>
      </c>
      <c r="T4" s="2">
        <v>4</v>
      </c>
      <c r="U4" s="2">
        <v>1</v>
      </c>
      <c r="V4" s="2">
        <v>3</v>
      </c>
      <c r="W4" s="2">
        <v>4</v>
      </c>
      <c r="X4" s="6">
        <v>0</v>
      </c>
    </row>
    <row r="5" spans="2:24" x14ac:dyDescent="0.3">
      <c r="B5" s="10" t="s">
        <v>11</v>
      </c>
      <c r="C5" s="2">
        <v>3</v>
      </c>
      <c r="D5" s="2">
        <v>5</v>
      </c>
      <c r="E5" s="2">
        <v>2</v>
      </c>
      <c r="F5" s="2">
        <v>3</v>
      </c>
      <c r="G5" s="2">
        <v>3</v>
      </c>
      <c r="H5" s="6">
        <v>0</v>
      </c>
      <c r="I5" s="6">
        <v>0</v>
      </c>
      <c r="J5" s="6">
        <v>1</v>
      </c>
      <c r="K5" s="1">
        <f t="shared" si="0"/>
        <v>16</v>
      </c>
      <c r="L5" s="26">
        <f t="shared" si="1"/>
        <v>3.3333333333333335</v>
      </c>
      <c r="M5" s="26">
        <f t="shared" si="2"/>
        <v>3.1428571428571428</v>
      </c>
      <c r="R5" s="10" t="s">
        <v>11</v>
      </c>
      <c r="S5" s="2">
        <v>3</v>
      </c>
      <c r="T5" s="2">
        <v>5</v>
      </c>
      <c r="U5" s="2">
        <v>2</v>
      </c>
      <c r="V5" s="2">
        <v>3</v>
      </c>
      <c r="W5" s="2">
        <v>3</v>
      </c>
      <c r="X5" s="6">
        <v>1</v>
      </c>
    </row>
    <row r="6" spans="2:24" x14ac:dyDescent="0.3">
      <c r="B6" s="10" t="s">
        <v>12</v>
      </c>
      <c r="C6" s="2">
        <v>2</v>
      </c>
      <c r="D6" s="2">
        <v>1</v>
      </c>
      <c r="E6" s="2">
        <v>3</v>
      </c>
      <c r="F6" s="2">
        <v>2</v>
      </c>
      <c r="G6" s="2">
        <v>3</v>
      </c>
      <c r="H6" s="6">
        <v>0</v>
      </c>
      <c r="I6" s="6">
        <v>1</v>
      </c>
      <c r="J6" s="6">
        <v>0</v>
      </c>
      <c r="K6" s="1">
        <f t="shared" si="0"/>
        <v>11</v>
      </c>
      <c r="L6" s="26">
        <f t="shared" si="1"/>
        <v>2</v>
      </c>
      <c r="M6" s="26">
        <f t="shared" si="2"/>
        <v>2.2857142857142856</v>
      </c>
      <c r="R6" s="10" t="s">
        <v>12</v>
      </c>
      <c r="S6" s="2">
        <v>2</v>
      </c>
      <c r="T6" s="2">
        <v>1</v>
      </c>
      <c r="U6" s="2">
        <v>3</v>
      </c>
      <c r="V6" s="2">
        <v>2</v>
      </c>
      <c r="W6" s="2">
        <v>3</v>
      </c>
      <c r="X6" s="6">
        <v>0</v>
      </c>
    </row>
    <row r="7" spans="2:24" x14ac:dyDescent="0.3">
      <c r="B7" s="10" t="s">
        <v>13</v>
      </c>
      <c r="C7" s="2">
        <v>2</v>
      </c>
      <c r="D7" s="2">
        <v>2</v>
      </c>
      <c r="E7" s="2">
        <v>5</v>
      </c>
      <c r="F7" s="2">
        <v>2</v>
      </c>
      <c r="G7" s="2">
        <v>2</v>
      </c>
      <c r="H7" s="6">
        <v>0</v>
      </c>
      <c r="I7" s="6">
        <v>0</v>
      </c>
      <c r="J7" s="6">
        <v>0</v>
      </c>
      <c r="K7" s="1">
        <f t="shared" si="0"/>
        <v>13</v>
      </c>
      <c r="L7" s="26">
        <f t="shared" si="1"/>
        <v>3</v>
      </c>
      <c r="M7" s="26">
        <f t="shared" si="2"/>
        <v>2.4285714285714284</v>
      </c>
      <c r="R7" s="10" t="s">
        <v>13</v>
      </c>
      <c r="S7" s="2">
        <v>2</v>
      </c>
      <c r="T7" s="2">
        <v>2</v>
      </c>
      <c r="U7" s="2">
        <v>5</v>
      </c>
      <c r="V7" s="2">
        <v>2</v>
      </c>
      <c r="W7" s="2">
        <v>2</v>
      </c>
      <c r="X7" s="6">
        <v>0</v>
      </c>
    </row>
    <row r="8" spans="2:24" x14ac:dyDescent="0.3">
      <c r="B8" s="10" t="s">
        <v>14</v>
      </c>
      <c r="C8" s="2">
        <v>3</v>
      </c>
      <c r="D8" s="2">
        <v>4</v>
      </c>
      <c r="E8" s="2">
        <v>3</v>
      </c>
      <c r="F8" s="2">
        <v>2</v>
      </c>
      <c r="G8" s="2">
        <v>5</v>
      </c>
      <c r="H8" s="6">
        <v>0</v>
      </c>
      <c r="I8" s="6">
        <v>0</v>
      </c>
      <c r="J8" s="6">
        <v>1</v>
      </c>
      <c r="K8" s="1">
        <f t="shared" si="0"/>
        <v>17</v>
      </c>
      <c r="L8" s="26">
        <f t="shared" si="1"/>
        <v>3.3333333333333335</v>
      </c>
      <c r="M8" s="26">
        <f t="shared" si="2"/>
        <v>3.4285714285714284</v>
      </c>
      <c r="R8" s="10" t="s">
        <v>14</v>
      </c>
      <c r="S8" s="2">
        <v>3</v>
      </c>
      <c r="T8" s="2">
        <v>4</v>
      </c>
      <c r="U8" s="2">
        <v>3</v>
      </c>
      <c r="V8" s="2">
        <v>2</v>
      </c>
      <c r="W8" s="2">
        <v>5</v>
      </c>
      <c r="X8" s="6">
        <v>1</v>
      </c>
    </row>
    <row r="9" spans="2:24" x14ac:dyDescent="0.3">
      <c r="B9" s="10" t="s">
        <v>15</v>
      </c>
      <c r="C9" s="2">
        <v>5</v>
      </c>
      <c r="D9" s="2">
        <v>4</v>
      </c>
      <c r="E9" s="2">
        <v>2</v>
      </c>
      <c r="F9" s="2">
        <v>4</v>
      </c>
      <c r="G9" s="2">
        <v>4</v>
      </c>
      <c r="H9" s="6">
        <v>1</v>
      </c>
      <c r="I9" s="6">
        <v>1</v>
      </c>
      <c r="J9" s="6">
        <v>0</v>
      </c>
      <c r="K9" s="1">
        <f t="shared" si="0"/>
        <v>19</v>
      </c>
      <c r="L9" s="26">
        <f t="shared" si="1"/>
        <v>3.6666666666666665</v>
      </c>
      <c r="M9" s="26">
        <f t="shared" si="2"/>
        <v>3.8571428571428572</v>
      </c>
      <c r="R9" s="10" t="s">
        <v>15</v>
      </c>
      <c r="S9" s="2">
        <v>5</v>
      </c>
      <c r="T9" s="2">
        <v>4</v>
      </c>
      <c r="U9" s="2">
        <v>2</v>
      </c>
      <c r="V9" s="2">
        <v>4</v>
      </c>
      <c r="W9" s="2">
        <v>4</v>
      </c>
      <c r="X9" s="6">
        <v>0</v>
      </c>
    </row>
    <row r="10" spans="2:24" x14ac:dyDescent="0.3">
      <c r="B10" s="10" t="s">
        <v>16</v>
      </c>
      <c r="C10" s="2">
        <v>2</v>
      </c>
      <c r="D10" s="2">
        <v>1</v>
      </c>
      <c r="E10" s="2">
        <v>3</v>
      </c>
      <c r="F10" s="2">
        <v>3</v>
      </c>
      <c r="G10" s="2">
        <v>3</v>
      </c>
      <c r="H10" s="6">
        <v>0</v>
      </c>
      <c r="I10" s="6">
        <v>0</v>
      </c>
      <c r="J10" s="6">
        <v>0</v>
      </c>
      <c r="K10" s="1">
        <f t="shared" si="0"/>
        <v>12</v>
      </c>
      <c r="L10" s="26">
        <f t="shared" si="1"/>
        <v>2</v>
      </c>
      <c r="M10" s="26">
        <f t="shared" si="2"/>
        <v>2.5714285714285716</v>
      </c>
      <c r="R10" s="10" t="s">
        <v>16</v>
      </c>
      <c r="S10" s="2">
        <v>2</v>
      </c>
      <c r="T10" s="2">
        <v>1</v>
      </c>
      <c r="U10" s="2">
        <v>3</v>
      </c>
      <c r="V10" s="2">
        <v>3</v>
      </c>
      <c r="W10" s="2">
        <v>3</v>
      </c>
      <c r="X10" s="6">
        <v>0</v>
      </c>
    </row>
    <row r="12" spans="2:24" x14ac:dyDescent="0.3">
      <c r="B12" s="66" t="s">
        <v>54</v>
      </c>
      <c r="C12" s="70" t="s">
        <v>1</v>
      </c>
      <c r="D12" s="68" t="s">
        <v>2</v>
      </c>
      <c r="E12" s="68" t="s">
        <v>3</v>
      </c>
      <c r="F12" s="68" t="s">
        <v>4</v>
      </c>
      <c r="G12" s="72" t="s">
        <v>5</v>
      </c>
      <c r="J12" s="19" t="s">
        <v>55</v>
      </c>
      <c r="K12" s="21" t="s">
        <v>56</v>
      </c>
      <c r="L12" s="20" t="s">
        <v>57</v>
      </c>
    </row>
    <row r="13" spans="2:24" ht="34.950000000000003" customHeight="1" x14ac:dyDescent="0.3">
      <c r="B13" s="67"/>
      <c r="C13" s="71"/>
      <c r="D13" s="69"/>
      <c r="E13" s="69"/>
      <c r="F13" s="69"/>
      <c r="G13" s="73"/>
      <c r="J13" s="19" t="s">
        <v>58</v>
      </c>
      <c r="K13" s="22" t="s">
        <v>59</v>
      </c>
      <c r="L13" s="17" t="s">
        <v>60</v>
      </c>
      <c r="R13" s="44" t="s">
        <v>61</v>
      </c>
      <c r="S13" s="48">
        <v>1</v>
      </c>
      <c r="T13" s="48">
        <v>1</v>
      </c>
      <c r="U13" s="48">
        <v>1</v>
      </c>
      <c r="V13" s="48">
        <v>1</v>
      </c>
      <c r="W13" s="48">
        <v>1</v>
      </c>
      <c r="X13" s="49">
        <v>1</v>
      </c>
    </row>
    <row r="14" spans="2:24" x14ac:dyDescent="0.3">
      <c r="B14" s="9" t="s">
        <v>62</v>
      </c>
      <c r="C14" s="2" t="str">
        <f t="array" ref="C14:C20">_xlfn.SORTBY($B$4:$B$10, C4:C10, 1)</f>
        <v>A</v>
      </c>
      <c r="D14" s="2" t="str">
        <f t="array" ref="D14:D20">_xlfn.SORTBY(B4:B10,D4:D10)</f>
        <v>C</v>
      </c>
      <c r="E14" s="2" t="str">
        <f t="array" ref="E14:E20">_xlfn.SORTBY(B4:B10,E4:E10)</f>
        <v>A</v>
      </c>
      <c r="F14" s="2" t="str">
        <f t="array" ref="F14:F20">_xlfn.SORTBY(B4:B10,F4:F10)</f>
        <v>C</v>
      </c>
      <c r="G14" s="2" t="str">
        <f t="array" ref="G14:G20">_xlfn.SORTBY(B4:B10,G4:G10)</f>
        <v>D</v>
      </c>
      <c r="J14" s="11" t="str">
        <f t="array" ref="J14:J20">_xlfn.SORTBY(B4:B10,L4:L10)</f>
        <v>C</v>
      </c>
      <c r="K14" s="38" t="str">
        <f t="array" ref="K14:K20">_xlfn.SORTBY(B4:B10,M4:M10)</f>
        <v>C</v>
      </c>
      <c r="L14" s="37" t="s">
        <v>10</v>
      </c>
      <c r="Q14" s="8"/>
      <c r="R14" s="8"/>
    </row>
    <row r="15" spans="2:24" x14ac:dyDescent="0.3">
      <c r="B15" s="9" t="s">
        <v>63</v>
      </c>
      <c r="C15" s="2" t="str">
        <v>C</v>
      </c>
      <c r="D15" s="2" t="str">
        <v>G</v>
      </c>
      <c r="E15" s="2" t="str">
        <v>B</v>
      </c>
      <c r="F15" s="2" t="str">
        <v>D</v>
      </c>
      <c r="G15" s="2" t="str">
        <v>B</v>
      </c>
      <c r="J15" s="36" t="str">
        <v>G</v>
      </c>
      <c r="K15" s="31" t="str">
        <v>D</v>
      </c>
      <c r="L15" s="32" t="s">
        <v>11</v>
      </c>
      <c r="M15" s="28" t="s">
        <v>64</v>
      </c>
      <c r="Q15" s="8"/>
      <c r="R15" s="8"/>
    </row>
    <row r="16" spans="2:24" x14ac:dyDescent="0.3">
      <c r="B16" s="9" t="s">
        <v>65</v>
      </c>
      <c r="C16" s="2" t="str">
        <v>D</v>
      </c>
      <c r="D16" s="2" t="str">
        <v>D</v>
      </c>
      <c r="E16" s="2" t="str">
        <v>F</v>
      </c>
      <c r="F16" s="2" t="str">
        <v>E</v>
      </c>
      <c r="G16" s="2" t="str">
        <v>C</v>
      </c>
      <c r="J16" s="24" t="str">
        <v>A</v>
      </c>
      <c r="K16" s="1" t="str">
        <v>G</v>
      </c>
      <c r="L16" s="37" t="s">
        <v>15</v>
      </c>
      <c r="Q16" s="8"/>
      <c r="R16" s="8"/>
    </row>
    <row r="17" spans="1:18" x14ac:dyDescent="0.3">
      <c r="A17" s="5"/>
      <c r="B17" s="9" t="s">
        <v>66</v>
      </c>
      <c r="C17" s="2" t="str">
        <v>G</v>
      </c>
      <c r="D17" s="2" t="str">
        <v>A</v>
      </c>
      <c r="E17" s="2" t="str">
        <v>C</v>
      </c>
      <c r="F17" s="2" t="str">
        <v>A</v>
      </c>
      <c r="G17" s="2" t="str">
        <v>G</v>
      </c>
      <c r="J17" s="27" t="str">
        <v>D</v>
      </c>
      <c r="K17" s="25" t="str">
        <v>A</v>
      </c>
      <c r="L17" s="25" t="s">
        <v>12</v>
      </c>
      <c r="Q17" s="8"/>
      <c r="R17" s="8"/>
    </row>
    <row r="18" spans="1:18" x14ac:dyDescent="0.3">
      <c r="A18" s="5"/>
      <c r="B18" s="9" t="s">
        <v>67</v>
      </c>
      <c r="C18" s="2" t="str">
        <v>B</v>
      </c>
      <c r="D18" s="2" t="str">
        <v>E</v>
      </c>
      <c r="E18" s="2" t="str">
        <v>E</v>
      </c>
      <c r="F18" s="2" t="str">
        <v>B</v>
      </c>
      <c r="G18" s="2" t="str">
        <v>A</v>
      </c>
      <c r="J18" s="30" t="str">
        <v>B</v>
      </c>
      <c r="K18" s="29" t="str">
        <v>B</v>
      </c>
      <c r="L18" s="32" t="s">
        <v>14</v>
      </c>
      <c r="M18" s="28" t="s">
        <v>64</v>
      </c>
    </row>
    <row r="19" spans="1:18" x14ac:dyDescent="0.3">
      <c r="A19" s="5"/>
      <c r="B19" s="9" t="s">
        <v>68</v>
      </c>
      <c r="C19" s="2" t="str">
        <v>E</v>
      </c>
      <c r="D19" s="2" t="str">
        <v>F</v>
      </c>
      <c r="E19" s="2" t="str">
        <v>G</v>
      </c>
      <c r="F19" s="2" t="str">
        <v>G</v>
      </c>
      <c r="G19" s="2" t="str">
        <v>F</v>
      </c>
      <c r="J19" s="30" t="str">
        <v>E</v>
      </c>
      <c r="K19" s="29" t="str">
        <v>E</v>
      </c>
      <c r="L19" s="23" t="s">
        <v>16</v>
      </c>
    </row>
    <row r="20" spans="1:18" x14ac:dyDescent="0.3">
      <c r="B20" s="9" t="s">
        <v>69</v>
      </c>
      <c r="C20" s="2" t="str">
        <v>F</v>
      </c>
      <c r="D20" s="2" t="str">
        <v>B</v>
      </c>
      <c r="E20" s="2" t="str">
        <v>D</v>
      </c>
      <c r="F20" s="2" t="str">
        <v>F</v>
      </c>
      <c r="G20" s="2" t="str">
        <v>E</v>
      </c>
      <c r="J20" s="24" t="str">
        <v>F</v>
      </c>
      <c r="K20" s="25" t="str">
        <v>F</v>
      </c>
      <c r="L20" s="23" t="s">
        <v>13</v>
      </c>
    </row>
    <row r="21" spans="1:18" x14ac:dyDescent="0.3">
      <c r="I21" s="39" t="s">
        <v>70</v>
      </c>
      <c r="J21" s="40" t="s">
        <v>71</v>
      </c>
      <c r="K21" s="40" t="s">
        <v>72</v>
      </c>
      <c r="L21" s="40" t="s">
        <v>73</v>
      </c>
    </row>
    <row r="24" spans="1:18" ht="41.4" customHeight="1" x14ac:dyDescent="0.3">
      <c r="B24" s="42" t="s">
        <v>28</v>
      </c>
      <c r="C24" s="15" t="s">
        <v>1</v>
      </c>
      <c r="D24" s="15" t="s">
        <v>2</v>
      </c>
      <c r="E24" s="15" t="s">
        <v>3</v>
      </c>
      <c r="F24" s="15" t="s">
        <v>4</v>
      </c>
      <c r="G24" s="15" t="s">
        <v>5</v>
      </c>
      <c r="H24" s="17" t="s">
        <v>8</v>
      </c>
      <c r="I24" s="15" t="s">
        <v>29</v>
      </c>
    </row>
    <row r="25" spans="1:18" x14ac:dyDescent="0.3">
      <c r="B25" s="43">
        <v>1</v>
      </c>
      <c r="C25" s="2">
        <v>0.3</v>
      </c>
      <c r="D25" s="2">
        <v>0.2</v>
      </c>
      <c r="E25" s="2">
        <v>0.4</v>
      </c>
      <c r="F25" s="2">
        <v>0.1</v>
      </c>
      <c r="G25" s="2">
        <v>0.1</v>
      </c>
      <c r="H25" s="6">
        <v>0.2</v>
      </c>
      <c r="I25" s="1" t="str">
        <f t="shared" ref="I25:I34" si="3">C25&amp;"x1+ "&amp;D25&amp;"x2+ "&amp;E25&amp;"x3+ "&amp;F25&amp;"x4+ "&amp;G25&amp;"x5+ -"&amp;H25&amp;"x6"</f>
        <v>0,3x1+ 0,2x2+ 0,4x3+ 0,1x4+ 0,1x5+ -0,2x6</v>
      </c>
    </row>
    <row r="26" spans="1:18" x14ac:dyDescent="0.3">
      <c r="B26" s="43">
        <v>2</v>
      </c>
      <c r="C26" s="2">
        <v>0.25</v>
      </c>
      <c r="D26" s="2">
        <v>0.15</v>
      </c>
      <c r="E26" s="2">
        <v>0.1</v>
      </c>
      <c r="F26" s="2">
        <v>0.1</v>
      </c>
      <c r="G26" s="2">
        <v>0.1</v>
      </c>
      <c r="H26" s="6">
        <v>0.3</v>
      </c>
      <c r="I26" s="1" t="str">
        <f t="shared" si="3"/>
        <v>0,25x1+ 0,15x2+ 0,1x3+ 0,1x4+ 0,1x5+ -0,3x6</v>
      </c>
    </row>
    <row r="27" spans="1:18" x14ac:dyDescent="0.3">
      <c r="B27" s="43">
        <v>3</v>
      </c>
      <c r="C27" s="2">
        <v>0.15</v>
      </c>
      <c r="D27" s="2">
        <v>0.3</v>
      </c>
      <c r="E27" s="2">
        <v>0.1</v>
      </c>
      <c r="F27" s="2">
        <v>0.1</v>
      </c>
      <c r="G27" s="2">
        <v>0.15</v>
      </c>
      <c r="H27" s="6">
        <v>0.2</v>
      </c>
      <c r="I27" s="1" t="str">
        <f t="shared" si="3"/>
        <v>0,15x1+ 0,3x2+ 0,1x3+ 0,1x4+ 0,15x5+ -0,2x6</v>
      </c>
    </row>
    <row r="28" spans="1:18" x14ac:dyDescent="0.3">
      <c r="B28" s="43">
        <v>4</v>
      </c>
      <c r="C28" s="2">
        <v>0.1</v>
      </c>
      <c r="D28" s="2">
        <v>0.1</v>
      </c>
      <c r="E28" s="2">
        <v>0.4</v>
      </c>
      <c r="F28" s="2">
        <v>0.15</v>
      </c>
      <c r="G28" s="2">
        <v>0.1</v>
      </c>
      <c r="H28" s="6">
        <v>0.15</v>
      </c>
      <c r="I28" s="1" t="str">
        <f t="shared" si="3"/>
        <v>0,1x1+ 0,1x2+ 0,4x3+ 0,15x4+ 0,1x5+ -0,15x6</v>
      </c>
    </row>
    <row r="29" spans="1:18" x14ac:dyDescent="0.3">
      <c r="B29" s="43">
        <v>5</v>
      </c>
      <c r="C29" s="2">
        <v>0.05</v>
      </c>
      <c r="D29" s="2">
        <v>0.05</v>
      </c>
      <c r="E29" s="2">
        <v>0.5</v>
      </c>
      <c r="F29" s="2">
        <v>0.15</v>
      </c>
      <c r="G29" s="2">
        <v>0.1</v>
      </c>
      <c r="H29" s="6">
        <v>0.15</v>
      </c>
      <c r="I29" s="1" t="str">
        <f t="shared" si="3"/>
        <v>0,05x1+ 0,05x2+ 0,5x3+ 0,15x4+ 0,1x5+ -0,15x6</v>
      </c>
    </row>
    <row r="30" spans="1:18" x14ac:dyDescent="0.3">
      <c r="B30" s="43">
        <v>6</v>
      </c>
      <c r="C30" s="2">
        <v>0.05</v>
      </c>
      <c r="D30" s="2">
        <v>0.1</v>
      </c>
      <c r="E30" s="2">
        <v>0.35</v>
      </c>
      <c r="F30" s="2">
        <v>0.15</v>
      </c>
      <c r="G30" s="2">
        <v>0.1</v>
      </c>
      <c r="H30" s="6">
        <v>0.25</v>
      </c>
      <c r="I30" s="1" t="str">
        <f t="shared" si="3"/>
        <v>0,05x1+ 0,1x2+ 0,35x3+ 0,15x4+ 0,1x5+ -0,25x6</v>
      </c>
    </row>
    <row r="31" spans="1:18" x14ac:dyDescent="0.3">
      <c r="B31" s="43">
        <v>7</v>
      </c>
      <c r="C31" s="2">
        <v>0.1</v>
      </c>
      <c r="D31" s="2">
        <v>0.1</v>
      </c>
      <c r="E31" s="2">
        <v>0.15</v>
      </c>
      <c r="F31" s="2">
        <v>0.35</v>
      </c>
      <c r="G31" s="2">
        <v>0.2</v>
      </c>
      <c r="H31" s="6">
        <v>0.1</v>
      </c>
      <c r="I31" s="1" t="str">
        <f t="shared" si="3"/>
        <v>0,1x1+ 0,1x2+ 0,15x3+ 0,35x4+ 0,2x5+ -0,1x6</v>
      </c>
    </row>
    <row r="32" spans="1:18" x14ac:dyDescent="0.3">
      <c r="B32" s="41">
        <v>8</v>
      </c>
      <c r="C32" s="2">
        <v>0.1</v>
      </c>
      <c r="D32" s="2">
        <v>0.1</v>
      </c>
      <c r="E32" s="2">
        <v>0.65</v>
      </c>
      <c r="F32" s="2">
        <v>0.25</v>
      </c>
      <c r="G32" s="2">
        <v>0.3</v>
      </c>
      <c r="H32" s="6">
        <v>0.1</v>
      </c>
      <c r="I32" s="1" t="str">
        <f t="shared" si="3"/>
        <v>0,1x1+ 0,1x2+ 0,65x3+ 0,25x4+ 0,3x5+ -0,1x6</v>
      </c>
    </row>
    <row r="33" spans="2:12" x14ac:dyDescent="0.3">
      <c r="B33" s="41">
        <v>9</v>
      </c>
      <c r="C33" s="2">
        <v>0.2</v>
      </c>
      <c r="D33" s="2">
        <v>0.15</v>
      </c>
      <c r="E33" s="2">
        <v>0.2</v>
      </c>
      <c r="F33" s="2">
        <v>0.15</v>
      </c>
      <c r="G33" s="2">
        <v>0.1</v>
      </c>
      <c r="H33" s="6">
        <v>0.2</v>
      </c>
      <c r="I33" s="1" t="str">
        <f t="shared" si="3"/>
        <v>0,2x1+ 0,15x2+ 0,2x3+ 0,15x4+ 0,1x5+ -0,2x6</v>
      </c>
    </row>
    <row r="34" spans="2:12" x14ac:dyDescent="0.3">
      <c r="B34" s="41">
        <v>10</v>
      </c>
      <c r="C34" s="2">
        <v>0.15</v>
      </c>
      <c r="D34" s="2">
        <v>0.15</v>
      </c>
      <c r="E34" s="2">
        <v>0.15</v>
      </c>
      <c r="F34" s="2">
        <v>0.15</v>
      </c>
      <c r="G34" s="2">
        <v>0.1</v>
      </c>
      <c r="H34" s="6">
        <v>0.3</v>
      </c>
      <c r="I34" s="1" t="str">
        <f t="shared" si="3"/>
        <v>0,15x1+ 0,15x2+ 0,15x3+ 0,15x4+ 0,1x5+ -0,3x6</v>
      </c>
    </row>
    <row r="36" spans="2:12" ht="57" customHeight="1" x14ac:dyDescent="0.3">
      <c r="B36" s="47" t="s">
        <v>75</v>
      </c>
      <c r="C36" s="46">
        <v>1</v>
      </c>
      <c r="D36" s="46">
        <v>2</v>
      </c>
      <c r="E36" s="46">
        <v>3</v>
      </c>
      <c r="F36" s="46">
        <v>4</v>
      </c>
      <c r="G36" s="46">
        <v>5</v>
      </c>
      <c r="H36" s="46">
        <v>6</v>
      </c>
      <c r="I36" s="46">
        <v>7</v>
      </c>
      <c r="J36" s="46">
        <v>8</v>
      </c>
      <c r="K36" s="46">
        <v>9</v>
      </c>
      <c r="L36" s="46">
        <v>10</v>
      </c>
    </row>
    <row r="37" spans="2:12" x14ac:dyDescent="0.3">
      <c r="B37" s="10" t="s">
        <v>10</v>
      </c>
      <c r="C37">
        <f>_xlfn.IFNA(
  SUMPRODUCT(
    _xlfn.XLOOKUP(TRIM($B37), $R$4:$R$10, $S$4:$W$10),
    _xlfn.XLOOKUP(--TRIM(C$36), $B$25:$B$34, $C$25:$G$34)
  )
  - _xlfn.XLOOKUP(TRIM($B37), $R$4:$R$10, $X$4:$X$10)
    * _xlfn.XLOOKUP(--TRIM(C$36), $B$25:$B$34, $H$25:$H$34), ""
)</f>
        <v>2.4999999999999996</v>
      </c>
      <c r="D37">
        <f>_xlfn.IFNA(
  SUMPRODUCT(
    _xlfn.XLOOKUP(TRIM($B37), $R$4:$R$10, $S$4:$W$10),
    _xlfn.XLOOKUP(--TRIM(D$36), $B$25:$B$34, $C$25:$G$34)
  )
  - _xlfn.XLOOKUP(TRIM($B37), $R$4:$R$10, $X$4:$X$10)
    * _xlfn.XLOOKUP(--TRIM(D$36), $B$25:$B$34, $H$25:$H$34), ""
)</f>
        <v>1.9000000000000004</v>
      </c>
      <c r="E37">
        <f t="shared" ref="E37:L43" si="4">_xlfn.IFNA(
SUMPRODUCT(
_xlfn.XLOOKUP(TRIM($B37), $R$4:$R$10, $S$4:$W$10),
_xlfn.XLOOKUP(--TRIM(E$36), $B$25:$B$34, $C$25:$G$34)
)
- _xlfn.XLOOKUP(TRIM($B37), $R$4:$R$10, $X$4:$X$10)
* _xlfn.XLOOKUP(--TRIM(E$36), $B$25:$B$34, $H$25:$H$34), ""
)</f>
        <v>2.5</v>
      </c>
      <c r="F37">
        <f t="shared" si="4"/>
        <v>1.85</v>
      </c>
      <c r="G37">
        <f t="shared" si="4"/>
        <v>1.65</v>
      </c>
      <c r="H37">
        <f t="shared" si="4"/>
        <v>1.6999999999999997</v>
      </c>
      <c r="I37">
        <f t="shared" si="4"/>
        <v>2.5999999999999996</v>
      </c>
      <c r="J37">
        <f t="shared" si="4"/>
        <v>3.2</v>
      </c>
      <c r="K37">
        <f t="shared" si="4"/>
        <v>2.0499999999999998</v>
      </c>
      <c r="L37">
        <f t="shared" si="4"/>
        <v>1.9</v>
      </c>
    </row>
    <row r="38" spans="2:12" x14ac:dyDescent="0.3">
      <c r="B38" s="10" t="s">
        <v>11</v>
      </c>
      <c r="C38">
        <f>_xlfn.IFNA(
  SUMPRODUCT(
    _xlfn.XLOOKUP(TRIM($B38), $R$4:$R$10, $S$4:$W$10),
    _xlfn.XLOOKUP(--TRIM(C$36), $B$25:$B$34, $C$25:$G$34)
  )
  - _xlfn.XLOOKUP(TRIM($B38), $R$4:$R$10, $X$4:$X$10)
    * _xlfn.XLOOKUP(--TRIM(C$36), $B$25:$B$34, $H$25:$H$34), ""
)</f>
        <v>3.0999999999999996</v>
      </c>
      <c r="D38">
        <f t="shared" ref="D38:D43" si="5">_xlfn.IFNA(
SUMPRODUCT(
_xlfn.XLOOKUP(TRIM($B38), $R$4:$R$10, $S$4:$W$10),
_xlfn.XLOOKUP(--TRIM(D$36), $B$25:$B$34, $C$25:$G$34)
)
- _xlfn.XLOOKUP(TRIM($B38), $R$4:$R$10, $X$4:$X$10)
* _xlfn.XLOOKUP(--TRIM(D$36), $B$25:$B$34, $H$25:$H$34), ""
)</f>
        <v>1.9999999999999998</v>
      </c>
      <c r="E38">
        <f t="shared" si="4"/>
        <v>2.7</v>
      </c>
      <c r="F38">
        <f t="shared" si="4"/>
        <v>2.1999999999999997</v>
      </c>
      <c r="G38">
        <f t="shared" si="4"/>
        <v>2</v>
      </c>
      <c r="H38">
        <f t="shared" si="4"/>
        <v>1.85</v>
      </c>
      <c r="I38">
        <f t="shared" si="4"/>
        <v>2.65</v>
      </c>
      <c r="J38">
        <f t="shared" si="4"/>
        <v>3.65</v>
      </c>
      <c r="K38">
        <f t="shared" si="4"/>
        <v>2.2999999999999998</v>
      </c>
      <c r="L38">
        <f t="shared" si="4"/>
        <v>1.95</v>
      </c>
    </row>
    <row r="39" spans="2:12" x14ac:dyDescent="0.3">
      <c r="B39" s="10" t="s">
        <v>12</v>
      </c>
      <c r="C39">
        <f>_xlfn.IFNA(
SUMPRODUCT(
_xlfn.XLOOKUP(TRIM($B39), $R$4:$R$10, $S$4:$W$10),
_xlfn.XLOOKUP(--TRIM(C$36), $B$25:$B$34, $C$25:$G$34)
)
- _xlfn.XLOOKUP(TRIM($B39), $R$4:$R$10, $X$4:$X$10)
* _xlfn.XLOOKUP(--TRIM(C$36), $B$25:$B$34, $H$25:$H$34), ""
)</f>
        <v>2.5</v>
      </c>
      <c r="D39">
        <f t="shared" si="5"/>
        <v>1.4500000000000002</v>
      </c>
      <c r="E39">
        <f t="shared" si="4"/>
        <v>1.55</v>
      </c>
      <c r="F39">
        <f t="shared" si="4"/>
        <v>2.1000000000000005</v>
      </c>
      <c r="G39">
        <f t="shared" si="4"/>
        <v>2.25</v>
      </c>
      <c r="H39">
        <f t="shared" si="4"/>
        <v>1.8499999999999999</v>
      </c>
      <c r="I39">
        <f t="shared" si="4"/>
        <v>2.0499999999999998</v>
      </c>
      <c r="J39">
        <f t="shared" si="4"/>
        <v>3.65</v>
      </c>
      <c r="K39">
        <f t="shared" si="4"/>
        <v>1.7500000000000002</v>
      </c>
      <c r="L39">
        <f t="shared" si="4"/>
        <v>1.5</v>
      </c>
    </row>
    <row r="40" spans="2:12" x14ac:dyDescent="0.3">
      <c r="B40" s="10" t="s">
        <v>13</v>
      </c>
      <c r="C40">
        <f>_xlfn.IFNA(
SUMPRODUCT(
_xlfn.XLOOKUP(TRIM($B40), $R$4:$R$10, $S$4:$W$10),
_xlfn.XLOOKUP(--TRIM(C$36), $B$25:$B$34, $C$25:$G$34)
)
- _xlfn.XLOOKUP(TRIM($B40), $R$4:$R$10, $X$4:$X$10)
* _xlfn.XLOOKUP(--TRIM(C$36), $B$25:$B$34, $H$25:$H$34), ""
)</f>
        <v>3.4000000000000004</v>
      </c>
      <c r="D40">
        <f t="shared" si="5"/>
        <v>1.7</v>
      </c>
      <c r="E40">
        <f t="shared" si="4"/>
        <v>1.9</v>
      </c>
      <c r="F40">
        <f t="shared" si="4"/>
        <v>2.9</v>
      </c>
      <c r="G40">
        <f t="shared" si="4"/>
        <v>3.2</v>
      </c>
      <c r="H40">
        <f t="shared" si="4"/>
        <v>2.5499999999999998</v>
      </c>
      <c r="I40">
        <f t="shared" si="4"/>
        <v>2.25</v>
      </c>
      <c r="J40">
        <f t="shared" si="4"/>
        <v>4.75</v>
      </c>
      <c r="K40">
        <f t="shared" si="4"/>
        <v>2.2000000000000002</v>
      </c>
      <c r="L40">
        <f t="shared" si="4"/>
        <v>1.85</v>
      </c>
    </row>
    <row r="41" spans="2:12" x14ac:dyDescent="0.3">
      <c r="B41" s="10" t="s">
        <v>14</v>
      </c>
      <c r="C41">
        <f>_xlfn.IFNA(
SUMPRODUCT(
_xlfn.XLOOKUP(TRIM($B41), $R$4:$R$10, $S$4:$W$10),
_xlfn.XLOOKUP(--TRIM(C$36), $B$25:$B$34, $C$25:$G$34)
)
- _xlfn.XLOOKUP(TRIM($B41), $R$4:$R$10, $X$4:$X$10)
* _xlfn.XLOOKUP(--TRIM(C$36), $B$25:$B$34, $H$25:$H$34), ""
)</f>
        <v>3.4000000000000004</v>
      </c>
      <c r="D41">
        <f t="shared" si="5"/>
        <v>2.0500000000000003</v>
      </c>
      <c r="E41">
        <f t="shared" si="4"/>
        <v>2.6999999999999997</v>
      </c>
      <c r="F41">
        <f t="shared" si="4"/>
        <v>2.5500000000000003</v>
      </c>
      <c r="G41">
        <f t="shared" si="4"/>
        <v>2.5</v>
      </c>
      <c r="H41">
        <f t="shared" si="4"/>
        <v>2.15</v>
      </c>
      <c r="I41">
        <f t="shared" si="4"/>
        <v>2.7499999999999996</v>
      </c>
      <c r="J41">
        <f t="shared" si="4"/>
        <v>4.5500000000000007</v>
      </c>
      <c r="K41">
        <f t="shared" si="4"/>
        <v>2.4</v>
      </c>
      <c r="L41">
        <f t="shared" si="4"/>
        <v>1.9999999999999998</v>
      </c>
    </row>
    <row r="42" spans="2:12" x14ac:dyDescent="0.3">
      <c r="B42" s="10" t="s">
        <v>15</v>
      </c>
      <c r="C42">
        <f>_xlfn.IFNA(
SUMPRODUCT(
_xlfn.XLOOKUP(TRIM($B42), $R$4:$R$10, $S$4:$W$10),
_xlfn.XLOOKUP(--TRIM(C$36), $B$25:$B$34, $C$25:$G$34)
)
- _xlfn.XLOOKUP(TRIM($B42), $R$4:$R$10, $X$4:$X$10)
* _xlfn.XLOOKUP(--TRIM(C$36), $B$25:$B$34, $H$25:$H$34), ""
)</f>
        <v>3.8999999999999995</v>
      </c>
      <c r="D42">
        <f t="shared" si="5"/>
        <v>2.85</v>
      </c>
      <c r="E42">
        <f t="shared" si="4"/>
        <v>3.15</v>
      </c>
      <c r="F42">
        <f t="shared" si="4"/>
        <v>2.7</v>
      </c>
      <c r="G42">
        <f t="shared" si="4"/>
        <v>2.4499999999999997</v>
      </c>
      <c r="H42">
        <f t="shared" si="4"/>
        <v>2.35</v>
      </c>
      <c r="I42">
        <f t="shared" si="4"/>
        <v>3.3999999999999995</v>
      </c>
      <c r="J42">
        <f t="shared" si="4"/>
        <v>4.4000000000000004</v>
      </c>
      <c r="K42">
        <f t="shared" si="4"/>
        <v>3</v>
      </c>
      <c r="L42">
        <f t="shared" si="4"/>
        <v>2.65</v>
      </c>
    </row>
    <row r="43" spans="2:12" x14ac:dyDescent="0.3">
      <c r="B43" s="10" t="s">
        <v>16</v>
      </c>
      <c r="C43">
        <f>_xlfn.IFNA(
SUMPRODUCT(
_xlfn.XLOOKUP(TRIM($B43), $R$4:$R$10, $S$4:$W$10),
_xlfn.XLOOKUP(--TRIM(C$36), $B$25:$B$34, $C$25:$G$34)
)
- _xlfn.XLOOKUP(TRIM($B43), $R$4:$R$10, $X$4:$X$10)
* _xlfn.XLOOKUP(--TRIM(C$36), $B$25:$B$34, $H$25:$H$34), ""
)</f>
        <v>2.5999999999999996</v>
      </c>
      <c r="D43">
        <f t="shared" si="5"/>
        <v>1.55</v>
      </c>
      <c r="E43">
        <f t="shared" si="4"/>
        <v>1.6500000000000001</v>
      </c>
      <c r="F43">
        <f t="shared" si="4"/>
        <v>2.25</v>
      </c>
      <c r="G43">
        <f t="shared" si="4"/>
        <v>2.3999999999999995</v>
      </c>
      <c r="H43">
        <f t="shared" si="4"/>
        <v>1.9999999999999998</v>
      </c>
      <c r="I43">
        <f t="shared" si="4"/>
        <v>2.4</v>
      </c>
      <c r="J43">
        <f t="shared" si="4"/>
        <v>3.9</v>
      </c>
      <c r="K43">
        <f t="shared" si="4"/>
        <v>1.9000000000000001</v>
      </c>
      <c r="L43">
        <f t="shared" si="4"/>
        <v>1.65</v>
      </c>
    </row>
  </sheetData>
  <mergeCells count="6">
    <mergeCell ref="B12:B13"/>
    <mergeCell ref="E12:E13"/>
    <mergeCell ref="C12:C13"/>
    <mergeCell ref="G12:G13"/>
    <mergeCell ref="F12:F13"/>
    <mergeCell ref="D12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3"/>
  <sheetViews>
    <sheetView showGridLines="0" workbookViewId="0"/>
  </sheetViews>
  <sheetFormatPr defaultColWidth="8.6640625" defaultRowHeight="14.4" x14ac:dyDescent="0.3"/>
  <cols>
    <col min="1" max="1" width="8.6640625" customWidth="1"/>
    <col min="2" max="2" width="19" style="3" customWidth="1"/>
    <col min="3" max="7" width="13.6640625" customWidth="1"/>
    <col min="8" max="8" width="10.77734375" customWidth="1"/>
    <col min="9" max="9" width="18.44140625" customWidth="1"/>
    <col min="10" max="10" width="13.6640625" customWidth="1"/>
    <col min="11" max="11" width="16" customWidth="1"/>
    <col min="12" max="14" width="13.6640625" customWidth="1"/>
    <col min="15" max="15" width="12.109375" customWidth="1"/>
    <col min="16" max="16" width="13.109375" customWidth="1"/>
  </cols>
  <sheetData>
    <row r="1" spans="2:24" x14ac:dyDescent="0.3">
      <c r="B1" s="35" t="s">
        <v>50</v>
      </c>
      <c r="C1" s="34">
        <v>1</v>
      </c>
      <c r="D1" s="34">
        <v>1</v>
      </c>
      <c r="E1" s="34">
        <v>1</v>
      </c>
      <c r="F1" s="34">
        <v>1</v>
      </c>
      <c r="G1" s="34">
        <v>1</v>
      </c>
    </row>
    <row r="2" spans="2:24" x14ac:dyDescent="0.3">
      <c r="B2" s="35" t="s">
        <v>51</v>
      </c>
      <c r="C2" s="34">
        <v>1</v>
      </c>
      <c r="D2" s="34">
        <v>1</v>
      </c>
      <c r="E2" s="34">
        <v>1</v>
      </c>
      <c r="F2" s="34">
        <v>2</v>
      </c>
      <c r="G2" s="34">
        <v>2</v>
      </c>
    </row>
    <row r="3" spans="2:24" ht="41.4" customHeight="1" x14ac:dyDescent="0.3">
      <c r="B3" s="4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5" t="s">
        <v>5</v>
      </c>
      <c r="H3" s="16" t="s">
        <v>6</v>
      </c>
      <c r="I3" s="16" t="s">
        <v>7</v>
      </c>
      <c r="J3" s="17" t="s">
        <v>8</v>
      </c>
      <c r="K3" s="33" t="s">
        <v>9</v>
      </c>
      <c r="L3" s="14" t="s">
        <v>52</v>
      </c>
      <c r="M3" s="18" t="s">
        <v>53</v>
      </c>
      <c r="R3" s="4" t="s">
        <v>0</v>
      </c>
      <c r="S3" s="15" t="s">
        <v>1</v>
      </c>
      <c r="T3" s="15" t="s">
        <v>2</v>
      </c>
      <c r="U3" s="15" t="s">
        <v>3</v>
      </c>
      <c r="V3" s="15" t="s">
        <v>4</v>
      </c>
      <c r="W3" s="15" t="s">
        <v>5</v>
      </c>
      <c r="X3" s="17" t="s">
        <v>8</v>
      </c>
    </row>
    <row r="4" spans="2:24" x14ac:dyDescent="0.3">
      <c r="B4" s="10" t="s">
        <v>10</v>
      </c>
      <c r="C4" s="2">
        <v>2</v>
      </c>
      <c r="D4" s="2">
        <v>4</v>
      </c>
      <c r="E4" s="2">
        <v>1</v>
      </c>
      <c r="F4" s="2">
        <v>3</v>
      </c>
      <c r="G4" s="2">
        <v>4</v>
      </c>
      <c r="H4" s="6">
        <v>1</v>
      </c>
      <c r="I4" s="6">
        <v>0</v>
      </c>
      <c r="J4" s="6">
        <v>0</v>
      </c>
      <c r="K4" s="1">
        <f t="shared" ref="K4:K10" si="0">SUM(C4:G4)</f>
        <v>14</v>
      </c>
      <c r="L4" s="26">
        <f t="shared" ref="L4:L10" si="1">SUMPRODUCT($C$1:$E$1,C4:E4)/SUM($C$1:$E$1)</f>
        <v>2.3333333333333335</v>
      </c>
      <c r="M4" s="26">
        <f t="shared" ref="M4:M10" si="2">SUMPRODUCT(C4:G4,$C$2:$G$2)/SUM($C$2:$G$2)</f>
        <v>3</v>
      </c>
      <c r="R4" s="10" t="s">
        <v>10</v>
      </c>
      <c r="S4" s="2">
        <v>2</v>
      </c>
      <c r="T4" s="2">
        <v>4</v>
      </c>
      <c r="U4" s="2">
        <v>1</v>
      </c>
      <c r="V4" s="2">
        <v>3</v>
      </c>
      <c r="W4" s="2">
        <v>4</v>
      </c>
      <c r="X4" s="6">
        <v>0</v>
      </c>
    </row>
    <row r="5" spans="2:24" x14ac:dyDescent="0.3">
      <c r="B5" s="10" t="s">
        <v>11</v>
      </c>
      <c r="C5" s="2">
        <v>3</v>
      </c>
      <c r="D5" s="2">
        <v>5</v>
      </c>
      <c r="E5" s="2">
        <v>2</v>
      </c>
      <c r="F5" s="2">
        <v>3</v>
      </c>
      <c r="G5" s="2">
        <v>3</v>
      </c>
      <c r="H5" s="6">
        <v>0</v>
      </c>
      <c r="I5" s="6">
        <v>0</v>
      </c>
      <c r="J5" s="6">
        <v>1</v>
      </c>
      <c r="K5" s="1">
        <f t="shared" si="0"/>
        <v>16</v>
      </c>
      <c r="L5" s="26">
        <f t="shared" si="1"/>
        <v>3.3333333333333335</v>
      </c>
      <c r="M5" s="26">
        <f t="shared" si="2"/>
        <v>3.1428571428571428</v>
      </c>
      <c r="R5" s="10" t="s">
        <v>11</v>
      </c>
      <c r="S5" s="2">
        <v>3</v>
      </c>
      <c r="T5" s="2">
        <v>5</v>
      </c>
      <c r="U5" s="2">
        <v>2</v>
      </c>
      <c r="V5" s="2">
        <v>3</v>
      </c>
      <c r="W5" s="2">
        <v>3</v>
      </c>
      <c r="X5" s="6">
        <v>1</v>
      </c>
    </row>
    <row r="6" spans="2:24" x14ac:dyDescent="0.3">
      <c r="B6" s="10" t="s">
        <v>12</v>
      </c>
      <c r="C6" s="2">
        <v>2</v>
      </c>
      <c r="D6" s="2">
        <v>1</v>
      </c>
      <c r="E6" s="2">
        <v>3</v>
      </c>
      <c r="F6" s="2">
        <v>2</v>
      </c>
      <c r="G6" s="2">
        <v>3</v>
      </c>
      <c r="H6" s="6">
        <v>0</v>
      </c>
      <c r="I6" s="6">
        <v>1</v>
      </c>
      <c r="J6" s="6">
        <v>0</v>
      </c>
      <c r="K6" s="1">
        <f t="shared" si="0"/>
        <v>11</v>
      </c>
      <c r="L6" s="26">
        <f t="shared" si="1"/>
        <v>2</v>
      </c>
      <c r="M6" s="26">
        <f t="shared" si="2"/>
        <v>2.2857142857142856</v>
      </c>
      <c r="R6" s="10" t="s">
        <v>12</v>
      </c>
      <c r="S6" s="2">
        <v>2</v>
      </c>
      <c r="T6" s="2">
        <v>1</v>
      </c>
      <c r="U6" s="2">
        <v>3</v>
      </c>
      <c r="V6" s="2">
        <v>2</v>
      </c>
      <c r="W6" s="2">
        <v>3</v>
      </c>
      <c r="X6" s="6">
        <v>0</v>
      </c>
    </row>
    <row r="7" spans="2:24" x14ac:dyDescent="0.3">
      <c r="B7" s="10" t="s">
        <v>13</v>
      </c>
      <c r="C7" s="2">
        <v>2</v>
      </c>
      <c r="D7" s="2">
        <v>2</v>
      </c>
      <c r="E7" s="2">
        <v>5</v>
      </c>
      <c r="F7" s="2">
        <v>2</v>
      </c>
      <c r="G7" s="2">
        <v>2</v>
      </c>
      <c r="H7" s="6">
        <v>0</v>
      </c>
      <c r="I7" s="6">
        <v>0</v>
      </c>
      <c r="J7" s="6">
        <v>0</v>
      </c>
      <c r="K7" s="1">
        <f t="shared" si="0"/>
        <v>13</v>
      </c>
      <c r="L7" s="26">
        <f t="shared" si="1"/>
        <v>3</v>
      </c>
      <c r="M7" s="26">
        <f t="shared" si="2"/>
        <v>2.4285714285714284</v>
      </c>
      <c r="R7" s="10" t="s">
        <v>13</v>
      </c>
      <c r="S7" s="2">
        <v>2</v>
      </c>
      <c r="T7" s="2">
        <v>2</v>
      </c>
      <c r="U7" s="2">
        <v>5</v>
      </c>
      <c r="V7" s="2">
        <v>2</v>
      </c>
      <c r="W7" s="2">
        <v>2</v>
      </c>
      <c r="X7" s="6">
        <v>0</v>
      </c>
    </row>
    <row r="8" spans="2:24" x14ac:dyDescent="0.3">
      <c r="B8" s="10" t="s">
        <v>14</v>
      </c>
      <c r="C8" s="2">
        <v>3</v>
      </c>
      <c r="D8" s="2">
        <v>4</v>
      </c>
      <c r="E8" s="2">
        <v>3</v>
      </c>
      <c r="F8" s="2">
        <v>2</v>
      </c>
      <c r="G8" s="2">
        <v>5</v>
      </c>
      <c r="H8" s="6">
        <v>0</v>
      </c>
      <c r="I8" s="6">
        <v>0</v>
      </c>
      <c r="J8" s="6">
        <v>1</v>
      </c>
      <c r="K8" s="1">
        <f t="shared" si="0"/>
        <v>17</v>
      </c>
      <c r="L8" s="26">
        <f t="shared" si="1"/>
        <v>3.3333333333333335</v>
      </c>
      <c r="M8" s="26">
        <f t="shared" si="2"/>
        <v>3.4285714285714284</v>
      </c>
      <c r="R8" s="10" t="s">
        <v>14</v>
      </c>
      <c r="S8" s="2">
        <v>3</v>
      </c>
      <c r="T8" s="2">
        <v>4</v>
      </c>
      <c r="U8" s="2">
        <v>3</v>
      </c>
      <c r="V8" s="2">
        <v>2</v>
      </c>
      <c r="W8" s="2">
        <v>5</v>
      </c>
      <c r="X8" s="6">
        <v>1</v>
      </c>
    </row>
    <row r="9" spans="2:24" x14ac:dyDescent="0.3">
      <c r="B9" s="10" t="s">
        <v>15</v>
      </c>
      <c r="C9" s="2">
        <v>5</v>
      </c>
      <c r="D9" s="2">
        <v>4</v>
      </c>
      <c r="E9" s="2">
        <v>2</v>
      </c>
      <c r="F9" s="2">
        <v>4</v>
      </c>
      <c r="G9" s="2">
        <v>4</v>
      </c>
      <c r="H9" s="6">
        <v>1</v>
      </c>
      <c r="I9" s="6">
        <v>1</v>
      </c>
      <c r="J9" s="6">
        <v>0</v>
      </c>
      <c r="K9" s="1">
        <f t="shared" si="0"/>
        <v>19</v>
      </c>
      <c r="L9" s="26">
        <f t="shared" si="1"/>
        <v>3.6666666666666665</v>
      </c>
      <c r="M9" s="26">
        <f t="shared" si="2"/>
        <v>3.8571428571428572</v>
      </c>
      <c r="R9" s="10" t="s">
        <v>15</v>
      </c>
      <c r="S9" s="2">
        <v>5</v>
      </c>
      <c r="T9" s="2">
        <v>4</v>
      </c>
      <c r="U9" s="2">
        <v>2</v>
      </c>
      <c r="V9" s="2">
        <v>4</v>
      </c>
      <c r="W9" s="2">
        <v>4</v>
      </c>
      <c r="X9" s="6">
        <v>0</v>
      </c>
    </row>
    <row r="10" spans="2:24" x14ac:dyDescent="0.3">
      <c r="B10" s="10" t="s">
        <v>16</v>
      </c>
      <c r="C10" s="2">
        <v>2</v>
      </c>
      <c r="D10" s="2">
        <v>1</v>
      </c>
      <c r="E10" s="2">
        <v>3</v>
      </c>
      <c r="F10" s="2">
        <v>3</v>
      </c>
      <c r="G10" s="2">
        <v>3</v>
      </c>
      <c r="H10" s="6">
        <v>0</v>
      </c>
      <c r="I10" s="6">
        <v>0</v>
      </c>
      <c r="J10" s="6">
        <v>0</v>
      </c>
      <c r="K10" s="1">
        <f t="shared" si="0"/>
        <v>12</v>
      </c>
      <c r="L10" s="26">
        <f t="shared" si="1"/>
        <v>2</v>
      </c>
      <c r="M10" s="26">
        <f t="shared" si="2"/>
        <v>2.5714285714285716</v>
      </c>
      <c r="R10" s="10" t="s">
        <v>16</v>
      </c>
      <c r="S10" s="2">
        <v>2</v>
      </c>
      <c r="T10" s="2">
        <v>1</v>
      </c>
      <c r="U10" s="2">
        <v>3</v>
      </c>
      <c r="V10" s="2">
        <v>3</v>
      </c>
      <c r="W10" s="2">
        <v>3</v>
      </c>
      <c r="X10" s="6">
        <v>0</v>
      </c>
    </row>
    <row r="12" spans="2:24" x14ac:dyDescent="0.3">
      <c r="B12" s="66" t="s">
        <v>54</v>
      </c>
      <c r="C12" s="70" t="s">
        <v>1</v>
      </c>
      <c r="D12" s="68" t="s">
        <v>2</v>
      </c>
      <c r="E12" s="68" t="s">
        <v>3</v>
      </c>
      <c r="F12" s="68" t="s">
        <v>4</v>
      </c>
      <c r="G12" s="72" t="s">
        <v>5</v>
      </c>
      <c r="J12" s="19" t="s">
        <v>55</v>
      </c>
      <c r="K12" s="21" t="s">
        <v>56</v>
      </c>
      <c r="L12" s="20" t="s">
        <v>57</v>
      </c>
    </row>
    <row r="13" spans="2:24" ht="34.950000000000003" customHeight="1" x14ac:dyDescent="0.3">
      <c r="B13" s="67"/>
      <c r="C13" s="71"/>
      <c r="D13" s="69"/>
      <c r="E13" s="69"/>
      <c r="F13" s="69"/>
      <c r="G13" s="73"/>
      <c r="J13" s="19" t="s">
        <v>58</v>
      </c>
      <c r="K13" s="22" t="s">
        <v>59</v>
      </c>
      <c r="L13" s="17" t="s">
        <v>60</v>
      </c>
      <c r="R13" s="44" t="s">
        <v>61</v>
      </c>
      <c r="S13" s="48">
        <v>1</v>
      </c>
      <c r="T13" s="48">
        <v>1</v>
      </c>
      <c r="U13" s="48">
        <v>1</v>
      </c>
      <c r="V13" s="48">
        <v>1</v>
      </c>
      <c r="W13" s="48">
        <v>1</v>
      </c>
      <c r="X13" s="49">
        <v>1</v>
      </c>
    </row>
    <row r="14" spans="2:24" x14ac:dyDescent="0.3">
      <c r="B14" s="9" t="s">
        <v>62</v>
      </c>
      <c r="C14" s="2" t="str">
        <f t="array" ref="C14:C20">_xlfn.SORTBY($B$4:$B$10, C4:C10, 1)</f>
        <v>A</v>
      </c>
      <c r="D14" s="2" t="str">
        <f t="array" ref="D14:D20">_xlfn.SORTBY(B4:B10,D4:D10)</f>
        <v>C</v>
      </c>
      <c r="E14" s="2" t="str">
        <f t="array" ref="E14:E20">_xlfn.SORTBY(B4:B10,E4:E10)</f>
        <v>A</v>
      </c>
      <c r="F14" s="2" t="str">
        <f t="array" ref="F14:F20">_xlfn.SORTBY(B4:B10,F4:F10)</f>
        <v>C</v>
      </c>
      <c r="G14" s="2" t="str">
        <f t="array" ref="G14:G20">_xlfn.SORTBY(B4:B10,G4:G10)</f>
        <v>D</v>
      </c>
      <c r="J14" s="11" t="str">
        <f t="array" ref="J14:J20">_xlfn.SORTBY(B4:B10,L4:L10)</f>
        <v>C</v>
      </c>
      <c r="K14" s="38" t="str">
        <f t="array" ref="K14:K20">_xlfn.SORTBY(B4:B10,M4:M10)</f>
        <v>C</v>
      </c>
      <c r="L14" s="37" t="s">
        <v>10</v>
      </c>
      <c r="Q14" s="8"/>
    </row>
    <row r="15" spans="2:24" x14ac:dyDescent="0.3">
      <c r="B15" s="9" t="s">
        <v>63</v>
      </c>
      <c r="C15" s="2" t="str">
        <v>C</v>
      </c>
      <c r="D15" s="2" t="str">
        <v>G</v>
      </c>
      <c r="E15" s="2" t="str">
        <v>B</v>
      </c>
      <c r="F15" s="2" t="str">
        <v>D</v>
      </c>
      <c r="G15" s="2" t="str">
        <v>B</v>
      </c>
      <c r="J15" s="36" t="str">
        <v>G</v>
      </c>
      <c r="K15" s="31" t="str">
        <v>D</v>
      </c>
      <c r="L15" s="32" t="s">
        <v>11</v>
      </c>
      <c r="M15" s="28" t="s">
        <v>64</v>
      </c>
      <c r="Q15" s="8"/>
      <c r="R15" s="8"/>
    </row>
    <row r="16" spans="2:24" x14ac:dyDescent="0.3">
      <c r="B16" s="9" t="s">
        <v>65</v>
      </c>
      <c r="C16" s="2" t="str">
        <v>D</v>
      </c>
      <c r="D16" s="2" t="str">
        <v>D</v>
      </c>
      <c r="E16" s="2" t="str">
        <v>F</v>
      </c>
      <c r="F16" s="2" t="str">
        <v>E</v>
      </c>
      <c r="G16" s="2" t="str">
        <v>C</v>
      </c>
      <c r="J16" s="24" t="str">
        <v>A</v>
      </c>
      <c r="K16" s="1" t="str">
        <v>G</v>
      </c>
      <c r="L16" s="37" t="s">
        <v>15</v>
      </c>
      <c r="Q16" s="8"/>
      <c r="R16" s="8"/>
    </row>
    <row r="17" spans="1:18" x14ac:dyDescent="0.3">
      <c r="A17" s="5"/>
      <c r="B17" s="9" t="s">
        <v>66</v>
      </c>
      <c r="C17" s="2" t="str">
        <v>G</v>
      </c>
      <c r="D17" s="2" t="str">
        <v>A</v>
      </c>
      <c r="E17" s="2" t="str">
        <v>C</v>
      </c>
      <c r="F17" s="2" t="str">
        <v>A</v>
      </c>
      <c r="G17" s="2" t="str">
        <v>G</v>
      </c>
      <c r="J17" s="27" t="str">
        <v>D</v>
      </c>
      <c r="K17" s="25" t="str">
        <v>A</v>
      </c>
      <c r="L17" s="25" t="s">
        <v>12</v>
      </c>
      <c r="Q17" s="8"/>
      <c r="R17" s="8"/>
    </row>
    <row r="18" spans="1:18" x14ac:dyDescent="0.3">
      <c r="A18" s="5"/>
      <c r="B18" s="9" t="s">
        <v>67</v>
      </c>
      <c r="C18" s="2" t="str">
        <v>B</v>
      </c>
      <c r="D18" s="2" t="str">
        <v>E</v>
      </c>
      <c r="E18" s="2" t="str">
        <v>E</v>
      </c>
      <c r="F18" s="2" t="str">
        <v>B</v>
      </c>
      <c r="G18" s="2" t="str">
        <v>A</v>
      </c>
      <c r="J18" s="30" t="str">
        <v>B</v>
      </c>
      <c r="K18" s="29" t="str">
        <v>B</v>
      </c>
      <c r="L18" s="32" t="s">
        <v>14</v>
      </c>
      <c r="M18" s="28" t="s">
        <v>64</v>
      </c>
    </row>
    <row r="19" spans="1:18" x14ac:dyDescent="0.3">
      <c r="A19" s="5"/>
      <c r="B19" s="9" t="s">
        <v>68</v>
      </c>
      <c r="C19" s="2" t="str">
        <v>E</v>
      </c>
      <c r="D19" s="2" t="str">
        <v>F</v>
      </c>
      <c r="E19" s="2" t="str">
        <v>G</v>
      </c>
      <c r="F19" s="2" t="str">
        <v>G</v>
      </c>
      <c r="G19" s="2" t="str">
        <v>F</v>
      </c>
      <c r="J19" s="30" t="str">
        <v>E</v>
      </c>
      <c r="K19" s="29" t="str">
        <v>E</v>
      </c>
      <c r="L19" s="23" t="s">
        <v>16</v>
      </c>
    </row>
    <row r="20" spans="1:18" x14ac:dyDescent="0.3">
      <c r="B20" s="9" t="s">
        <v>69</v>
      </c>
      <c r="C20" s="2" t="str">
        <v>F</v>
      </c>
      <c r="D20" s="2" t="str">
        <v>B</v>
      </c>
      <c r="E20" s="2" t="str">
        <v>D</v>
      </c>
      <c r="F20" s="2" t="str">
        <v>F</v>
      </c>
      <c r="G20" s="2" t="str">
        <v>E</v>
      </c>
      <c r="J20" s="24" t="str">
        <v>F</v>
      </c>
      <c r="K20" s="25" t="str">
        <v>F</v>
      </c>
      <c r="L20" s="23" t="s">
        <v>13</v>
      </c>
    </row>
    <row r="21" spans="1:18" x14ac:dyDescent="0.3">
      <c r="I21" s="39" t="s">
        <v>70</v>
      </c>
      <c r="J21" s="40" t="s">
        <v>71</v>
      </c>
      <c r="K21" s="40" t="s">
        <v>72</v>
      </c>
      <c r="L21" s="40" t="s">
        <v>73</v>
      </c>
    </row>
    <row r="24" spans="1:18" ht="41.4" customHeight="1" x14ac:dyDescent="0.3">
      <c r="B24" s="42" t="s">
        <v>28</v>
      </c>
      <c r="C24" s="15" t="s">
        <v>1</v>
      </c>
      <c r="D24" s="15" t="s">
        <v>2</v>
      </c>
      <c r="E24" s="15" t="s">
        <v>3</v>
      </c>
      <c r="F24" s="15" t="s">
        <v>4</v>
      </c>
      <c r="G24" s="15" t="s">
        <v>5</v>
      </c>
      <c r="H24" s="17" t="s">
        <v>8</v>
      </c>
      <c r="I24" s="15" t="s">
        <v>29</v>
      </c>
    </row>
    <row r="25" spans="1:18" x14ac:dyDescent="0.3">
      <c r="B25" s="43">
        <v>1</v>
      </c>
      <c r="C25" s="2">
        <v>0.3</v>
      </c>
      <c r="D25" s="2">
        <v>0.2</v>
      </c>
      <c r="E25" s="2">
        <v>0.4</v>
      </c>
      <c r="F25" s="2">
        <v>0.1</v>
      </c>
      <c r="G25" s="2">
        <v>0.1</v>
      </c>
      <c r="H25" s="6">
        <v>0.2</v>
      </c>
      <c r="I25" s="1" t="str">
        <f t="shared" ref="I25:I34" si="3">C25&amp;"x1+ "&amp;D25&amp;"x2+ "&amp;E25&amp;"x3+ "&amp;F25&amp;"x4+ "&amp;G25&amp;"x5+ -"&amp;H25&amp;"x6"</f>
        <v>0,3x1+ 0,2x2+ 0,4x3+ 0,1x4+ 0,1x5+ -0,2x6</v>
      </c>
    </row>
    <row r="26" spans="1:18" x14ac:dyDescent="0.3">
      <c r="B26" s="43">
        <v>2</v>
      </c>
      <c r="C26" s="2">
        <v>0.25</v>
      </c>
      <c r="D26" s="2">
        <v>0.15</v>
      </c>
      <c r="E26" s="2">
        <v>0.1</v>
      </c>
      <c r="F26" s="2">
        <v>0.1</v>
      </c>
      <c r="G26" s="2">
        <v>0.1</v>
      </c>
      <c r="H26" s="6">
        <v>0.3</v>
      </c>
      <c r="I26" s="1" t="str">
        <f t="shared" si="3"/>
        <v>0,25x1+ 0,15x2+ 0,1x3+ 0,1x4+ 0,1x5+ -0,3x6</v>
      </c>
    </row>
    <row r="27" spans="1:18" x14ac:dyDescent="0.3">
      <c r="B27" s="43">
        <v>3</v>
      </c>
      <c r="C27" s="2">
        <v>0.15</v>
      </c>
      <c r="D27" s="2">
        <v>0.3</v>
      </c>
      <c r="E27" s="2">
        <v>0.1</v>
      </c>
      <c r="F27" s="2">
        <v>0.1</v>
      </c>
      <c r="G27" s="2">
        <v>0.15</v>
      </c>
      <c r="H27" s="6">
        <v>0.2</v>
      </c>
      <c r="I27" s="1" t="str">
        <f t="shared" si="3"/>
        <v>0,15x1+ 0,3x2+ 0,1x3+ 0,1x4+ 0,15x5+ -0,2x6</v>
      </c>
    </row>
    <row r="28" spans="1:18" x14ac:dyDescent="0.3">
      <c r="B28" s="43">
        <v>4</v>
      </c>
      <c r="C28" s="2">
        <v>0.1</v>
      </c>
      <c r="D28" s="2">
        <v>0.1</v>
      </c>
      <c r="E28" s="2">
        <v>0.4</v>
      </c>
      <c r="F28" s="2">
        <v>0.15</v>
      </c>
      <c r="G28" s="2">
        <v>0.1</v>
      </c>
      <c r="H28" s="6">
        <v>0.15</v>
      </c>
      <c r="I28" s="1" t="str">
        <f t="shared" si="3"/>
        <v>0,1x1+ 0,1x2+ 0,4x3+ 0,15x4+ 0,1x5+ -0,15x6</v>
      </c>
    </row>
    <row r="29" spans="1:18" x14ac:dyDescent="0.3">
      <c r="B29" s="43">
        <v>5</v>
      </c>
      <c r="C29" s="2">
        <v>0.05</v>
      </c>
      <c r="D29" s="2">
        <v>0.05</v>
      </c>
      <c r="E29" s="2">
        <v>0.5</v>
      </c>
      <c r="F29" s="2">
        <v>0.15</v>
      </c>
      <c r="G29" s="2">
        <v>0.1</v>
      </c>
      <c r="H29" s="6">
        <v>0.15</v>
      </c>
      <c r="I29" s="1" t="str">
        <f t="shared" si="3"/>
        <v>0,05x1+ 0,05x2+ 0,5x3+ 0,15x4+ 0,1x5+ -0,15x6</v>
      </c>
    </row>
    <row r="30" spans="1:18" x14ac:dyDescent="0.3">
      <c r="B30" s="43">
        <v>6</v>
      </c>
      <c r="C30" s="2">
        <v>0.05</v>
      </c>
      <c r="D30" s="2">
        <v>0.1</v>
      </c>
      <c r="E30" s="2">
        <v>0.35</v>
      </c>
      <c r="F30" s="2">
        <v>0.15</v>
      </c>
      <c r="G30" s="2">
        <v>0.1</v>
      </c>
      <c r="H30" s="6">
        <v>0.25</v>
      </c>
      <c r="I30" s="1" t="str">
        <f t="shared" si="3"/>
        <v>0,05x1+ 0,1x2+ 0,35x3+ 0,15x4+ 0,1x5+ -0,25x6</v>
      </c>
    </row>
    <row r="31" spans="1:18" x14ac:dyDescent="0.3">
      <c r="B31" s="43">
        <v>7</v>
      </c>
      <c r="C31" s="2">
        <v>0.1</v>
      </c>
      <c r="D31" s="2">
        <v>0.1</v>
      </c>
      <c r="E31" s="2">
        <v>0.15</v>
      </c>
      <c r="F31" s="2">
        <v>0.35</v>
      </c>
      <c r="G31" s="2">
        <v>0.2</v>
      </c>
      <c r="H31" s="6">
        <v>0.1</v>
      </c>
      <c r="I31" s="1" t="str">
        <f t="shared" si="3"/>
        <v>0,1x1+ 0,1x2+ 0,15x3+ 0,35x4+ 0,2x5+ -0,1x6</v>
      </c>
    </row>
    <row r="32" spans="1:18" x14ac:dyDescent="0.3">
      <c r="B32" s="41">
        <v>8</v>
      </c>
      <c r="C32" s="2">
        <v>0.1</v>
      </c>
      <c r="D32" s="2">
        <v>0.1</v>
      </c>
      <c r="E32" s="2">
        <v>0.65</v>
      </c>
      <c r="F32" s="2">
        <v>0.25</v>
      </c>
      <c r="G32" s="2">
        <v>0.3</v>
      </c>
      <c r="H32" s="6">
        <v>0.1</v>
      </c>
      <c r="I32" s="1" t="str">
        <f t="shared" si="3"/>
        <v>0,1x1+ 0,1x2+ 0,65x3+ 0,25x4+ 0,3x5+ -0,1x6</v>
      </c>
    </row>
    <row r="33" spans="2:12" x14ac:dyDescent="0.3">
      <c r="B33" s="41">
        <v>9</v>
      </c>
      <c r="C33" s="2">
        <v>0.2</v>
      </c>
      <c r="D33" s="2">
        <v>0.15</v>
      </c>
      <c r="E33" s="2">
        <v>0.2</v>
      </c>
      <c r="F33" s="2">
        <v>0.15</v>
      </c>
      <c r="G33" s="2">
        <v>0.1</v>
      </c>
      <c r="H33" s="6">
        <v>0.2</v>
      </c>
      <c r="I33" s="1" t="str">
        <f t="shared" si="3"/>
        <v>0,2x1+ 0,15x2+ 0,2x3+ 0,15x4+ 0,1x5+ -0,2x6</v>
      </c>
    </row>
    <row r="34" spans="2:12" x14ac:dyDescent="0.3">
      <c r="B34" s="41">
        <v>10</v>
      </c>
      <c r="C34" s="2">
        <v>0.15</v>
      </c>
      <c r="D34" s="2">
        <v>0.15</v>
      </c>
      <c r="E34" s="2">
        <v>0.15</v>
      </c>
      <c r="F34" s="2">
        <v>0.15</v>
      </c>
      <c r="G34" s="2">
        <v>0.1</v>
      </c>
      <c r="H34" s="6">
        <v>0.3</v>
      </c>
      <c r="I34" s="1" t="str">
        <f t="shared" si="3"/>
        <v>0,15x1+ 0,15x2+ 0,15x3+ 0,15x4+ 0,1x5+ -0,3x6</v>
      </c>
    </row>
    <row r="36" spans="2:12" ht="57" customHeight="1" x14ac:dyDescent="0.3">
      <c r="B36" s="47" t="s">
        <v>75</v>
      </c>
      <c r="C36" s="46">
        <v>1</v>
      </c>
      <c r="D36" s="46">
        <v>2</v>
      </c>
      <c r="E36" s="46">
        <v>3</v>
      </c>
      <c r="F36" s="46">
        <v>4</v>
      </c>
      <c r="G36" s="46">
        <v>5</v>
      </c>
      <c r="H36" s="46">
        <v>6</v>
      </c>
      <c r="I36" s="46">
        <v>7</v>
      </c>
      <c r="J36" s="46">
        <v>8</v>
      </c>
      <c r="K36" s="46">
        <v>9</v>
      </c>
      <c r="L36" s="46">
        <v>10</v>
      </c>
    </row>
    <row r="37" spans="2:12" x14ac:dyDescent="0.3">
      <c r="B37" s="10" t="s">
        <v>10</v>
      </c>
      <c r="C37">
        <f>_xlfn.IFNA(
  SUMPRODUCT(
    _xlfn.XLOOKUP(TRIM($B37), $R$4:$R$10, $S$4:$W$10),
    _xlfn.XLOOKUP(--TRIM(C$36), $B$25:$B$34, $C$25:$G$34)
  )
  - _xlfn.XLOOKUP(TRIM($B37), $R$4:$R$10, $X$4:$X$10)
    * _xlfn.XLOOKUP(--TRIM(C$36), $B$25:$B$34, $H$25:$H$34), ""
)</f>
        <v>2.4999999999999996</v>
      </c>
      <c r="D37">
        <f>_xlfn.IFNA(
  SUMPRODUCT(
    _xlfn.XLOOKUP(TRIM($B37), $R$4:$R$10, $S$4:$W$10),
    _xlfn.XLOOKUP(--TRIM(D$36), $B$25:$B$34, $C$25:$G$34)
  )
  - _xlfn.XLOOKUP(TRIM($B37), $R$4:$R$10, $X$4:$X$10)
    * _xlfn.XLOOKUP(--TRIM(D$36), $B$25:$B$34, $H$25:$H$34), ""
)</f>
        <v>1.9000000000000004</v>
      </c>
      <c r="E37">
        <f t="shared" ref="E37:L43" si="4">_xlfn.IFNA(
SUMPRODUCT(
_xlfn.XLOOKUP(TRIM($B37), $R$4:$R$10, $S$4:$W$10),
_xlfn.XLOOKUP(--TRIM(E$36), $B$25:$B$34, $C$25:$G$34)
)
- _xlfn.XLOOKUP(TRIM($B37), $R$4:$R$10, $X$4:$X$10)
* _xlfn.XLOOKUP(--TRIM(E$36), $B$25:$B$34, $H$25:$H$34), ""
)</f>
        <v>2.5</v>
      </c>
      <c r="F37">
        <f t="shared" si="4"/>
        <v>1.85</v>
      </c>
      <c r="G37">
        <f t="shared" si="4"/>
        <v>1.65</v>
      </c>
      <c r="H37">
        <f t="shared" si="4"/>
        <v>1.6999999999999997</v>
      </c>
      <c r="I37">
        <f t="shared" si="4"/>
        <v>2.5999999999999996</v>
      </c>
      <c r="J37">
        <f t="shared" si="4"/>
        <v>3.2</v>
      </c>
      <c r="K37">
        <f t="shared" si="4"/>
        <v>2.0499999999999998</v>
      </c>
      <c r="L37">
        <f t="shared" si="4"/>
        <v>1.9</v>
      </c>
    </row>
    <row r="38" spans="2:12" x14ac:dyDescent="0.3">
      <c r="B38" s="10" t="s">
        <v>11</v>
      </c>
      <c r="C38">
        <f>_xlfn.IFNA(
  SUMPRODUCT(
    _xlfn.XLOOKUP(TRIM($B38), $R$4:$R$10, $S$4:$W$10),
    _xlfn.XLOOKUP(--TRIM(C$36), $B$25:$B$34, $C$25:$G$34)
  )
  - _xlfn.XLOOKUP(TRIM($B38), $R$4:$R$10, $X$4:$X$10)
    * _xlfn.XLOOKUP(--TRIM(C$36), $B$25:$B$34, $H$25:$H$34), ""
)</f>
        <v>3.0999999999999996</v>
      </c>
      <c r="D38">
        <f t="shared" ref="D38:D43" si="5">_xlfn.IFNA(
SUMPRODUCT(
_xlfn.XLOOKUP(TRIM($B38), $R$4:$R$10, $S$4:$W$10),
_xlfn.XLOOKUP(--TRIM(D$36), $B$25:$B$34, $C$25:$G$34)
)
- _xlfn.XLOOKUP(TRIM($B38), $R$4:$R$10, $X$4:$X$10)
* _xlfn.XLOOKUP(--TRIM(D$36), $B$25:$B$34, $H$25:$H$34), ""
)</f>
        <v>1.9999999999999998</v>
      </c>
      <c r="E38">
        <f t="shared" si="4"/>
        <v>2.7</v>
      </c>
      <c r="F38">
        <f t="shared" si="4"/>
        <v>2.1999999999999997</v>
      </c>
      <c r="G38">
        <f t="shared" si="4"/>
        <v>2</v>
      </c>
      <c r="H38">
        <f t="shared" si="4"/>
        <v>1.85</v>
      </c>
      <c r="I38">
        <f t="shared" si="4"/>
        <v>2.65</v>
      </c>
      <c r="J38">
        <f t="shared" si="4"/>
        <v>3.65</v>
      </c>
      <c r="K38">
        <f t="shared" si="4"/>
        <v>2.2999999999999998</v>
      </c>
      <c r="L38">
        <f t="shared" si="4"/>
        <v>1.95</v>
      </c>
    </row>
    <row r="39" spans="2:12" x14ac:dyDescent="0.3">
      <c r="B39" s="10" t="s">
        <v>12</v>
      </c>
      <c r="C39">
        <f>_xlfn.IFNA(
SUMPRODUCT(
_xlfn.XLOOKUP(TRIM($B39), $R$4:$R$10, $S$4:$W$10),
_xlfn.XLOOKUP(--TRIM(C$36), $B$25:$B$34, $C$25:$G$34)
)
- _xlfn.XLOOKUP(TRIM($B39), $R$4:$R$10, $X$4:$X$10)
* _xlfn.XLOOKUP(--TRIM(C$36), $B$25:$B$34, $H$25:$H$34), ""
)</f>
        <v>2.5</v>
      </c>
      <c r="D39">
        <f t="shared" si="5"/>
        <v>1.4500000000000002</v>
      </c>
      <c r="E39">
        <f t="shared" si="4"/>
        <v>1.55</v>
      </c>
      <c r="F39">
        <f t="shared" si="4"/>
        <v>2.1000000000000005</v>
      </c>
      <c r="G39">
        <f t="shared" si="4"/>
        <v>2.25</v>
      </c>
      <c r="H39">
        <f t="shared" si="4"/>
        <v>1.8499999999999999</v>
      </c>
      <c r="I39">
        <f t="shared" si="4"/>
        <v>2.0499999999999998</v>
      </c>
      <c r="J39">
        <f t="shared" si="4"/>
        <v>3.65</v>
      </c>
      <c r="K39">
        <f t="shared" si="4"/>
        <v>1.7500000000000002</v>
      </c>
      <c r="L39">
        <f t="shared" si="4"/>
        <v>1.5</v>
      </c>
    </row>
    <row r="40" spans="2:12" x14ac:dyDescent="0.3">
      <c r="B40" s="10" t="s">
        <v>13</v>
      </c>
      <c r="C40">
        <f>_xlfn.IFNA(
SUMPRODUCT(
_xlfn.XLOOKUP(TRIM($B40), $R$4:$R$10, $S$4:$W$10),
_xlfn.XLOOKUP(--TRIM(C$36), $B$25:$B$34, $C$25:$G$34)
)
- _xlfn.XLOOKUP(TRIM($B40), $R$4:$R$10, $X$4:$X$10)
* _xlfn.XLOOKUP(--TRIM(C$36), $B$25:$B$34, $H$25:$H$34), ""
)</f>
        <v>3.4000000000000004</v>
      </c>
      <c r="D40">
        <f t="shared" si="5"/>
        <v>1.7</v>
      </c>
      <c r="E40">
        <f t="shared" si="4"/>
        <v>1.9</v>
      </c>
      <c r="F40">
        <f t="shared" si="4"/>
        <v>2.9</v>
      </c>
      <c r="G40">
        <f t="shared" si="4"/>
        <v>3.2</v>
      </c>
      <c r="H40">
        <f t="shared" si="4"/>
        <v>2.5499999999999998</v>
      </c>
      <c r="I40">
        <f t="shared" si="4"/>
        <v>2.25</v>
      </c>
      <c r="J40">
        <f t="shared" si="4"/>
        <v>4.75</v>
      </c>
      <c r="K40">
        <f t="shared" si="4"/>
        <v>2.2000000000000002</v>
      </c>
      <c r="L40">
        <f t="shared" si="4"/>
        <v>1.85</v>
      </c>
    </row>
    <row r="41" spans="2:12" x14ac:dyDescent="0.3">
      <c r="B41" s="10" t="s">
        <v>14</v>
      </c>
      <c r="C41">
        <f>_xlfn.IFNA(
SUMPRODUCT(
_xlfn.XLOOKUP(TRIM($B41), $R$4:$R$10, $S$4:$W$10),
_xlfn.XLOOKUP(--TRIM(C$36), $B$25:$B$34, $C$25:$G$34)
)
- _xlfn.XLOOKUP(TRIM($B41), $R$4:$R$10, $X$4:$X$10)
* _xlfn.XLOOKUP(--TRIM(C$36), $B$25:$B$34, $H$25:$H$34), ""
)</f>
        <v>3.4000000000000004</v>
      </c>
      <c r="D41">
        <f t="shared" si="5"/>
        <v>2.0500000000000003</v>
      </c>
      <c r="E41">
        <f t="shared" si="4"/>
        <v>2.6999999999999997</v>
      </c>
      <c r="F41">
        <f t="shared" si="4"/>
        <v>2.5500000000000003</v>
      </c>
      <c r="G41">
        <f t="shared" si="4"/>
        <v>2.5</v>
      </c>
      <c r="H41">
        <f t="shared" si="4"/>
        <v>2.15</v>
      </c>
      <c r="I41">
        <f t="shared" si="4"/>
        <v>2.7499999999999996</v>
      </c>
      <c r="J41">
        <f t="shared" si="4"/>
        <v>4.5500000000000007</v>
      </c>
      <c r="K41">
        <f t="shared" si="4"/>
        <v>2.4</v>
      </c>
      <c r="L41">
        <f t="shared" si="4"/>
        <v>1.9999999999999998</v>
      </c>
    </row>
    <row r="42" spans="2:12" x14ac:dyDescent="0.3">
      <c r="B42" s="10" t="s">
        <v>15</v>
      </c>
      <c r="C42">
        <f>_xlfn.IFNA(
SUMPRODUCT(
_xlfn.XLOOKUP(TRIM($B42), $R$4:$R$10, $S$4:$W$10),
_xlfn.XLOOKUP(--TRIM(C$36), $B$25:$B$34, $C$25:$G$34)
)
- _xlfn.XLOOKUP(TRIM($B42), $R$4:$R$10, $X$4:$X$10)
* _xlfn.XLOOKUP(--TRIM(C$36), $B$25:$B$34, $H$25:$H$34), ""
)</f>
        <v>3.8999999999999995</v>
      </c>
      <c r="D42">
        <f t="shared" si="5"/>
        <v>2.85</v>
      </c>
      <c r="E42">
        <f t="shared" si="4"/>
        <v>3.15</v>
      </c>
      <c r="F42">
        <f t="shared" si="4"/>
        <v>2.7</v>
      </c>
      <c r="G42">
        <f t="shared" si="4"/>
        <v>2.4499999999999997</v>
      </c>
      <c r="H42">
        <f t="shared" si="4"/>
        <v>2.35</v>
      </c>
      <c r="I42">
        <f t="shared" si="4"/>
        <v>3.3999999999999995</v>
      </c>
      <c r="J42">
        <f t="shared" si="4"/>
        <v>4.4000000000000004</v>
      </c>
      <c r="K42">
        <f t="shared" si="4"/>
        <v>3</v>
      </c>
      <c r="L42">
        <f t="shared" si="4"/>
        <v>2.65</v>
      </c>
    </row>
    <row r="43" spans="2:12" x14ac:dyDescent="0.3">
      <c r="B43" s="10" t="s">
        <v>16</v>
      </c>
      <c r="C43">
        <f>_xlfn.IFNA(
SUMPRODUCT(
_xlfn.XLOOKUP(TRIM($B43), $R$4:$R$10, $S$4:$W$10),
_xlfn.XLOOKUP(--TRIM(C$36), $B$25:$B$34, $C$25:$G$34)
)
- _xlfn.XLOOKUP(TRIM($B43), $R$4:$R$10, $X$4:$X$10)
* _xlfn.XLOOKUP(--TRIM(C$36), $B$25:$B$34, $H$25:$H$34), ""
)</f>
        <v>2.5999999999999996</v>
      </c>
      <c r="D43">
        <f t="shared" si="5"/>
        <v>1.55</v>
      </c>
      <c r="E43">
        <f t="shared" si="4"/>
        <v>1.6500000000000001</v>
      </c>
      <c r="F43">
        <f t="shared" si="4"/>
        <v>2.25</v>
      </c>
      <c r="G43">
        <f t="shared" si="4"/>
        <v>2.3999999999999995</v>
      </c>
      <c r="H43">
        <f t="shared" si="4"/>
        <v>1.9999999999999998</v>
      </c>
      <c r="I43">
        <f t="shared" si="4"/>
        <v>2.4</v>
      </c>
      <c r="J43">
        <f t="shared" si="4"/>
        <v>3.9</v>
      </c>
      <c r="K43">
        <f t="shared" si="4"/>
        <v>1.9000000000000001</v>
      </c>
      <c r="L43">
        <f t="shared" si="4"/>
        <v>1.65</v>
      </c>
    </row>
  </sheetData>
  <mergeCells count="6">
    <mergeCell ref="B12:B13"/>
    <mergeCell ref="E12:E13"/>
    <mergeCell ref="C12:C13"/>
    <mergeCell ref="G12:G13"/>
    <mergeCell ref="F12:F13"/>
    <mergeCell ref="D12:D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8"/>
  <sheetViews>
    <sheetView showGridLines="0" workbookViewId="0"/>
  </sheetViews>
  <sheetFormatPr defaultColWidth="8.6640625" defaultRowHeight="14.4" x14ac:dyDescent="0.3"/>
  <cols>
    <col min="1" max="1" width="8.6640625" customWidth="1"/>
    <col min="2" max="2" width="19" style="3" customWidth="1"/>
    <col min="3" max="10" width="13.6640625" customWidth="1"/>
    <col min="11" max="11" width="21.5546875" customWidth="1"/>
    <col min="12" max="14" width="13.6640625" customWidth="1"/>
    <col min="15" max="15" width="12.109375" customWidth="1"/>
    <col min="16" max="16" width="13.109375" customWidth="1"/>
  </cols>
  <sheetData>
    <row r="1" spans="2:18" x14ac:dyDescent="0.3">
      <c r="B1" s="35" t="s">
        <v>50</v>
      </c>
      <c r="C1" s="34">
        <v>1</v>
      </c>
      <c r="D1" s="34">
        <v>1</v>
      </c>
      <c r="E1" s="34">
        <v>1</v>
      </c>
      <c r="F1" s="34">
        <v>1</v>
      </c>
      <c r="G1" s="34">
        <v>1</v>
      </c>
    </row>
    <row r="2" spans="2:18" x14ac:dyDescent="0.3">
      <c r="B2" s="35" t="s">
        <v>51</v>
      </c>
      <c r="C2" s="34">
        <v>1</v>
      </c>
      <c r="D2" s="34">
        <v>1</v>
      </c>
      <c r="E2" s="34">
        <v>1</v>
      </c>
      <c r="F2" s="34">
        <v>2</v>
      </c>
      <c r="G2" s="34">
        <v>2</v>
      </c>
    </row>
    <row r="3" spans="2:18" ht="41.4" customHeight="1" x14ac:dyDescent="0.3">
      <c r="B3" s="4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5" t="s">
        <v>5</v>
      </c>
      <c r="H3" s="16" t="s">
        <v>6</v>
      </c>
      <c r="I3" s="16" t="s">
        <v>7</v>
      </c>
      <c r="J3" s="17" t="s">
        <v>8</v>
      </c>
      <c r="K3" s="33" t="s">
        <v>9</v>
      </c>
      <c r="L3" s="14" t="s">
        <v>52</v>
      </c>
      <c r="M3" s="18" t="s">
        <v>53</v>
      </c>
    </row>
    <row r="4" spans="2:18" x14ac:dyDescent="0.3">
      <c r="B4" s="10" t="s">
        <v>10</v>
      </c>
      <c r="C4" s="2">
        <v>2</v>
      </c>
      <c r="D4" s="2">
        <v>4</v>
      </c>
      <c r="E4" s="2">
        <v>1</v>
      </c>
      <c r="F4" s="2">
        <v>3</v>
      </c>
      <c r="G4" s="2">
        <v>4</v>
      </c>
      <c r="H4" s="6">
        <v>1</v>
      </c>
      <c r="I4" s="6">
        <v>0</v>
      </c>
      <c r="J4" s="6">
        <v>0</v>
      </c>
      <c r="K4" s="1">
        <f t="shared" ref="K4:K10" si="0">SUM(C4:G4)</f>
        <v>14</v>
      </c>
      <c r="L4" s="26">
        <f t="shared" ref="L4:L10" si="1">SUMPRODUCT($C$1:$E$1,C4:E4)/SUM($C$1:$E$1)</f>
        <v>2.3333333333333335</v>
      </c>
      <c r="M4" s="26">
        <f t="shared" ref="M4:M10" si="2">SUMPRODUCT(C4:G4,$C$2:$G$2)/SUM($C$2:$G$2)</f>
        <v>3</v>
      </c>
    </row>
    <row r="5" spans="2:18" x14ac:dyDescent="0.3">
      <c r="B5" s="10" t="s">
        <v>11</v>
      </c>
      <c r="C5" s="2">
        <v>3</v>
      </c>
      <c r="D5" s="2">
        <v>5</v>
      </c>
      <c r="E5" s="2">
        <v>2</v>
      </c>
      <c r="F5" s="2">
        <v>3</v>
      </c>
      <c r="G5" s="2">
        <v>3</v>
      </c>
      <c r="H5" s="6">
        <v>0</v>
      </c>
      <c r="I5" s="6">
        <v>0</v>
      </c>
      <c r="J5" s="6">
        <v>1</v>
      </c>
      <c r="K5" s="1">
        <f t="shared" si="0"/>
        <v>16</v>
      </c>
      <c r="L5" s="26">
        <f t="shared" si="1"/>
        <v>3.3333333333333335</v>
      </c>
      <c r="M5" s="26">
        <f t="shared" si="2"/>
        <v>3.1428571428571428</v>
      </c>
    </row>
    <row r="6" spans="2:18" x14ac:dyDescent="0.3">
      <c r="B6" s="10" t="s">
        <v>12</v>
      </c>
      <c r="C6" s="2">
        <v>2</v>
      </c>
      <c r="D6" s="2">
        <v>1</v>
      </c>
      <c r="E6" s="2">
        <v>3</v>
      </c>
      <c r="F6" s="2">
        <v>2</v>
      </c>
      <c r="G6" s="2">
        <v>3</v>
      </c>
      <c r="H6" s="6">
        <v>0</v>
      </c>
      <c r="I6" s="6">
        <v>1</v>
      </c>
      <c r="J6" s="6">
        <v>0</v>
      </c>
      <c r="K6" s="1">
        <f t="shared" si="0"/>
        <v>11</v>
      </c>
      <c r="L6" s="26">
        <f t="shared" si="1"/>
        <v>2</v>
      </c>
      <c r="M6" s="26">
        <f t="shared" si="2"/>
        <v>2.2857142857142856</v>
      </c>
    </row>
    <row r="7" spans="2:18" x14ac:dyDescent="0.3">
      <c r="B7" s="10" t="s">
        <v>13</v>
      </c>
      <c r="C7" s="2">
        <v>2</v>
      </c>
      <c r="D7" s="2">
        <v>2</v>
      </c>
      <c r="E7" s="2">
        <v>5</v>
      </c>
      <c r="F7" s="2">
        <v>2</v>
      </c>
      <c r="G7" s="2">
        <v>2</v>
      </c>
      <c r="H7" s="6">
        <v>0</v>
      </c>
      <c r="I7" s="6">
        <v>0</v>
      </c>
      <c r="J7" s="6">
        <v>0</v>
      </c>
      <c r="K7" s="1">
        <f t="shared" si="0"/>
        <v>13</v>
      </c>
      <c r="L7" s="26">
        <f t="shared" si="1"/>
        <v>3</v>
      </c>
      <c r="M7" s="26">
        <f t="shared" si="2"/>
        <v>2.4285714285714284</v>
      </c>
    </row>
    <row r="8" spans="2:18" x14ac:dyDescent="0.3">
      <c r="B8" s="10" t="s">
        <v>14</v>
      </c>
      <c r="C8" s="2">
        <v>3</v>
      </c>
      <c r="D8" s="2">
        <v>4</v>
      </c>
      <c r="E8" s="2">
        <v>3</v>
      </c>
      <c r="F8" s="2">
        <v>2</v>
      </c>
      <c r="G8" s="2">
        <v>5</v>
      </c>
      <c r="H8" s="6">
        <v>0</v>
      </c>
      <c r="I8" s="6">
        <v>0</v>
      </c>
      <c r="J8" s="6">
        <v>1</v>
      </c>
      <c r="K8" s="1">
        <f t="shared" si="0"/>
        <v>17</v>
      </c>
      <c r="L8" s="26">
        <f t="shared" si="1"/>
        <v>3.3333333333333335</v>
      </c>
      <c r="M8" s="26">
        <f t="shared" si="2"/>
        <v>3.4285714285714284</v>
      </c>
    </row>
    <row r="9" spans="2:18" x14ac:dyDescent="0.3">
      <c r="B9" s="10" t="s">
        <v>15</v>
      </c>
      <c r="C9" s="2">
        <v>5</v>
      </c>
      <c r="D9" s="2">
        <v>4</v>
      </c>
      <c r="E9" s="2">
        <v>2</v>
      </c>
      <c r="F9" s="2">
        <v>4</v>
      </c>
      <c r="G9" s="2">
        <v>4</v>
      </c>
      <c r="H9" s="6">
        <v>1</v>
      </c>
      <c r="I9" s="6">
        <v>1</v>
      </c>
      <c r="J9" s="6">
        <v>0</v>
      </c>
      <c r="K9" s="1">
        <f t="shared" si="0"/>
        <v>19</v>
      </c>
      <c r="L9" s="26">
        <f t="shared" si="1"/>
        <v>3.6666666666666665</v>
      </c>
      <c r="M9" s="26">
        <f t="shared" si="2"/>
        <v>3.8571428571428572</v>
      </c>
    </row>
    <row r="10" spans="2:18" x14ac:dyDescent="0.3">
      <c r="B10" s="10" t="s">
        <v>16</v>
      </c>
      <c r="C10" s="2">
        <v>2</v>
      </c>
      <c r="D10" s="2">
        <v>1</v>
      </c>
      <c r="E10" s="2">
        <v>3</v>
      </c>
      <c r="F10" s="2">
        <v>3</v>
      </c>
      <c r="G10" s="2">
        <v>3</v>
      </c>
      <c r="H10" s="6">
        <v>0</v>
      </c>
      <c r="I10" s="6">
        <v>0</v>
      </c>
      <c r="J10" s="6">
        <v>0</v>
      </c>
      <c r="K10" s="1">
        <f t="shared" si="0"/>
        <v>12</v>
      </c>
      <c r="L10" s="26">
        <f t="shared" si="1"/>
        <v>2</v>
      </c>
      <c r="M10" s="26">
        <f t="shared" si="2"/>
        <v>2.5714285714285716</v>
      </c>
    </row>
    <row r="12" spans="2:18" x14ac:dyDescent="0.3">
      <c r="B12" s="66" t="s">
        <v>54</v>
      </c>
      <c r="C12" s="70" t="s">
        <v>1</v>
      </c>
      <c r="D12" s="68" t="s">
        <v>2</v>
      </c>
      <c r="E12" s="68" t="s">
        <v>3</v>
      </c>
      <c r="F12" s="68" t="s">
        <v>4</v>
      </c>
      <c r="G12" s="72" t="s">
        <v>5</v>
      </c>
      <c r="J12" s="19" t="s">
        <v>55</v>
      </c>
      <c r="K12" s="21" t="s">
        <v>56</v>
      </c>
      <c r="L12" s="20" t="s">
        <v>57</v>
      </c>
    </row>
    <row r="13" spans="2:18" ht="34.950000000000003" customHeight="1" x14ac:dyDescent="0.3">
      <c r="B13" s="67"/>
      <c r="C13" s="71"/>
      <c r="D13" s="69"/>
      <c r="E13" s="69"/>
      <c r="F13" s="69"/>
      <c r="G13" s="73"/>
      <c r="J13" s="19" t="s">
        <v>58</v>
      </c>
      <c r="K13" s="22" t="s">
        <v>59</v>
      </c>
      <c r="L13" s="17" t="s">
        <v>60</v>
      </c>
    </row>
    <row r="14" spans="2:18" x14ac:dyDescent="0.3">
      <c r="B14" s="9" t="s">
        <v>62</v>
      </c>
      <c r="C14" s="2" t="str">
        <f t="array" ref="C14:C20">_xlfn.SORTBY($B$4:$B$10, C4:C10, 1)</f>
        <v>A</v>
      </c>
      <c r="D14" s="2" t="str">
        <f t="array" ref="D14:D20">_xlfn.SORTBY(B4:B10,D4:D10)</f>
        <v>C</v>
      </c>
      <c r="E14" s="2" t="str">
        <f t="array" ref="E14:E20">_xlfn.SORTBY(B4:B10,E4:E10)</f>
        <v>A</v>
      </c>
      <c r="F14" s="2" t="str">
        <f t="array" ref="F14:F20">_xlfn.SORTBY(B4:B10,F4:F10)</f>
        <v>C</v>
      </c>
      <c r="G14" s="2" t="str">
        <f t="array" ref="G14:G20">_xlfn.SORTBY(B4:B10,G4:G10)</f>
        <v>D</v>
      </c>
      <c r="J14" s="11" t="str">
        <f t="array" ref="J14:J20">_xlfn.SORTBY(B4:B10,L4:L10)</f>
        <v>C</v>
      </c>
      <c r="K14" s="38" t="str">
        <f t="array" ref="K14:K20">_xlfn.SORTBY(B4:B10,M4:M10)</f>
        <v>C</v>
      </c>
      <c r="L14" s="37" t="s">
        <v>10</v>
      </c>
      <c r="Q14" s="8"/>
      <c r="R14" s="8"/>
    </row>
    <row r="15" spans="2:18" x14ac:dyDescent="0.3">
      <c r="B15" s="9" t="s">
        <v>63</v>
      </c>
      <c r="C15" s="2" t="str">
        <v>C</v>
      </c>
      <c r="D15" s="2" t="str">
        <v>G</v>
      </c>
      <c r="E15" s="2" t="str">
        <v>B</v>
      </c>
      <c r="F15" s="2" t="str">
        <v>D</v>
      </c>
      <c r="G15" s="2" t="str">
        <v>B</v>
      </c>
      <c r="J15" s="36" t="str">
        <v>G</v>
      </c>
      <c r="K15" s="31" t="str">
        <v>D</v>
      </c>
      <c r="L15" s="32" t="s">
        <v>11</v>
      </c>
      <c r="M15" s="28" t="s">
        <v>64</v>
      </c>
      <c r="Q15" s="8"/>
      <c r="R15" s="8"/>
    </row>
    <row r="16" spans="2:18" x14ac:dyDescent="0.3">
      <c r="B16" s="9" t="s">
        <v>65</v>
      </c>
      <c r="C16" s="2" t="str">
        <v>D</v>
      </c>
      <c r="D16" s="2" t="str">
        <v>D</v>
      </c>
      <c r="E16" s="2" t="str">
        <v>F</v>
      </c>
      <c r="F16" s="2" t="str">
        <v>E</v>
      </c>
      <c r="G16" s="2" t="str">
        <v>C</v>
      </c>
      <c r="J16" s="24" t="str">
        <v>A</v>
      </c>
      <c r="K16" s="1" t="str">
        <v>G</v>
      </c>
      <c r="L16" s="37" t="s">
        <v>15</v>
      </c>
      <c r="Q16" s="8"/>
      <c r="R16" s="8"/>
    </row>
    <row r="17" spans="1:18" x14ac:dyDescent="0.3">
      <c r="A17" s="5"/>
      <c r="B17" s="9" t="s">
        <v>66</v>
      </c>
      <c r="C17" s="2" t="str">
        <v>G</v>
      </c>
      <c r="D17" s="2" t="str">
        <v>A</v>
      </c>
      <c r="E17" s="2" t="str">
        <v>C</v>
      </c>
      <c r="F17" s="2" t="str">
        <v>A</v>
      </c>
      <c r="G17" s="2" t="str">
        <v>G</v>
      </c>
      <c r="J17" s="27" t="str">
        <v>D</v>
      </c>
      <c r="K17" s="25" t="str">
        <v>A</v>
      </c>
      <c r="L17" s="25" t="s">
        <v>12</v>
      </c>
      <c r="Q17" s="8"/>
      <c r="R17" s="8"/>
    </row>
    <row r="18" spans="1:18" x14ac:dyDescent="0.3">
      <c r="A18" s="5"/>
      <c r="B18" s="9" t="s">
        <v>67</v>
      </c>
      <c r="C18" s="2" t="str">
        <v>B</v>
      </c>
      <c r="D18" s="2" t="str">
        <v>E</v>
      </c>
      <c r="E18" s="2" t="str">
        <v>E</v>
      </c>
      <c r="F18" s="2" t="str">
        <v>B</v>
      </c>
      <c r="G18" s="2" t="str">
        <v>A</v>
      </c>
      <c r="J18" s="30" t="str">
        <v>B</v>
      </c>
      <c r="K18" s="29" t="str">
        <v>B</v>
      </c>
      <c r="L18" s="32" t="s">
        <v>14</v>
      </c>
      <c r="M18" s="28" t="s">
        <v>64</v>
      </c>
    </row>
    <row r="19" spans="1:18" x14ac:dyDescent="0.3">
      <c r="A19" s="5"/>
      <c r="B19" s="9" t="s">
        <v>68</v>
      </c>
      <c r="C19" s="2" t="str">
        <v>E</v>
      </c>
      <c r="D19" s="2" t="str">
        <v>F</v>
      </c>
      <c r="E19" s="2" t="str">
        <v>G</v>
      </c>
      <c r="F19" s="2" t="str">
        <v>G</v>
      </c>
      <c r="G19" s="2" t="str">
        <v>F</v>
      </c>
      <c r="J19" s="30" t="str">
        <v>E</v>
      </c>
      <c r="K19" s="29" t="str">
        <v>E</v>
      </c>
      <c r="L19" s="23" t="s">
        <v>16</v>
      </c>
    </row>
    <row r="20" spans="1:18" x14ac:dyDescent="0.3">
      <c r="B20" s="9" t="s">
        <v>69</v>
      </c>
      <c r="C20" s="2" t="str">
        <v>F</v>
      </c>
      <c r="D20" s="2" t="str">
        <v>B</v>
      </c>
      <c r="E20" s="2" t="str">
        <v>D</v>
      </c>
      <c r="F20" s="2" t="str">
        <v>F</v>
      </c>
      <c r="G20" s="2" t="str">
        <v>E</v>
      </c>
      <c r="J20" s="24" t="str">
        <v>F</v>
      </c>
      <c r="K20" s="25" t="str">
        <v>F</v>
      </c>
      <c r="L20" s="23" t="s">
        <v>13</v>
      </c>
    </row>
    <row r="21" spans="1:18" x14ac:dyDescent="0.3">
      <c r="I21" s="39" t="s">
        <v>70</v>
      </c>
      <c r="J21" s="40" t="s">
        <v>71</v>
      </c>
      <c r="K21" s="40" t="s">
        <v>72</v>
      </c>
      <c r="L21" s="40" t="s">
        <v>73</v>
      </c>
    </row>
    <row r="31" spans="1:18" x14ac:dyDescent="0.3">
      <c r="B31" s="77" t="s">
        <v>0</v>
      </c>
      <c r="C31" s="78" t="s">
        <v>88</v>
      </c>
      <c r="D31" s="79"/>
      <c r="E31" s="79"/>
      <c r="F31" s="79"/>
    </row>
    <row r="32" spans="1:18" x14ac:dyDescent="0.3">
      <c r="B32" s="67"/>
      <c r="C32" s="80"/>
      <c r="D32" s="79"/>
      <c r="E32" s="79"/>
      <c r="F32" s="79"/>
    </row>
    <row r="33" spans="2:6" x14ac:dyDescent="0.3">
      <c r="B33" s="7" t="s">
        <v>16</v>
      </c>
      <c r="C33" s="74" t="s">
        <v>89</v>
      </c>
      <c r="D33" s="75"/>
      <c r="E33" s="75"/>
      <c r="F33" s="76"/>
    </row>
    <row r="34" spans="2:6" x14ac:dyDescent="0.3">
      <c r="B34" s="7" t="s">
        <v>13</v>
      </c>
      <c r="C34" s="74" t="s">
        <v>90</v>
      </c>
      <c r="D34" s="75"/>
      <c r="E34" s="75"/>
      <c r="F34" s="76"/>
    </row>
    <row r="35" spans="2:6" x14ac:dyDescent="0.3">
      <c r="B35" s="12" t="s">
        <v>10</v>
      </c>
      <c r="C35" s="74" t="s">
        <v>91</v>
      </c>
      <c r="D35" s="75"/>
      <c r="E35" s="75"/>
      <c r="F35" s="76"/>
    </row>
    <row r="36" spans="2:6" x14ac:dyDescent="0.3">
      <c r="B36" s="12" t="s">
        <v>12</v>
      </c>
      <c r="C36" s="74" t="s">
        <v>92</v>
      </c>
      <c r="D36" s="75"/>
      <c r="E36" s="75"/>
      <c r="F36" s="76"/>
    </row>
    <row r="37" spans="2:6" x14ac:dyDescent="0.3">
      <c r="B37" s="13" t="s">
        <v>93</v>
      </c>
      <c r="C37" s="74" t="s">
        <v>94</v>
      </c>
      <c r="D37" s="75"/>
      <c r="E37" s="75"/>
      <c r="F37" s="76"/>
    </row>
    <row r="38" spans="2:6" x14ac:dyDescent="0.3">
      <c r="B38" s="12" t="s">
        <v>15</v>
      </c>
      <c r="C38" s="74" t="s">
        <v>95</v>
      </c>
      <c r="D38" s="75"/>
      <c r="E38" s="75"/>
      <c r="F38" s="76"/>
    </row>
  </sheetData>
  <mergeCells count="14">
    <mergeCell ref="G12:G13"/>
    <mergeCell ref="C38:F38"/>
    <mergeCell ref="C33:F33"/>
    <mergeCell ref="D12:D13"/>
    <mergeCell ref="C31:F32"/>
    <mergeCell ref="C37:F37"/>
    <mergeCell ref="C36:F36"/>
    <mergeCell ref="C35:F35"/>
    <mergeCell ref="B12:B13"/>
    <mergeCell ref="E12:E13"/>
    <mergeCell ref="C34:F34"/>
    <mergeCell ref="C12:C13"/>
    <mergeCell ref="F12:F13"/>
    <mergeCell ref="B31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Supplier</vt:lpstr>
      <vt:lpstr>User</vt:lpstr>
      <vt:lpstr>Max Profit Agent</vt:lpstr>
      <vt:lpstr>Min Cost Agent (2)</vt:lpstr>
      <vt:lpstr>Max Match Agent</vt:lpstr>
      <vt:lpstr>Best Global Policy</vt:lpstr>
      <vt:lpstr>Arya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Arda Aydin</cp:lastModifiedBy>
  <dcterms:created xsi:type="dcterms:W3CDTF">2026-03-13T16:47:31Z</dcterms:created>
  <dcterms:modified xsi:type="dcterms:W3CDTF">2026-04-19T14:38:02Z</dcterms:modified>
</cp:coreProperties>
</file>