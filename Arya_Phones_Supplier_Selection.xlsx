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3B7AD1C8-0004-4273-9443-0580903482A9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Arya Case (Solution)" sheetId="7" state="hidden" r:id="rId1"/>
    <sheet name="Supplier" sheetId="13" r:id="rId2"/>
    <sheet name="User" sheetId="14" r:id="rId3"/>
    <sheet name="Max Profit Agent" sheetId="8" r:id="rId4"/>
    <sheet name="Min Cost Agent (2)" sheetId="12" state="hidden" r:id="rId5"/>
    <sheet name="Max Match Agent" sheetId="10" r:id="rId6"/>
    <sheet name="Best Global Policy" sheetId="11" r:id="rId7"/>
    <sheet name="Arya Case" sheetId="4" state="hidden" r:id="rId8"/>
  </sheets>
  <definedNames>
    <definedName name="solver_eng" localSheetId="3" hidden="1">1</definedName>
    <definedName name="solver_neg" localSheetId="3" hidden="1">1</definedName>
    <definedName name="solver_num" localSheetId="3" hidden="1">0</definedName>
    <definedName name="solver_opt" localSheetId="3" hidden="1">'Max Profit Agent'!$C$55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3" l="1"/>
  <c r="J11" i="13"/>
  <c r="J12" i="13"/>
  <c r="L11" i="13"/>
  <c r="J10" i="13"/>
  <c r="L10" i="13"/>
  <c r="J9" i="13"/>
  <c r="K2" i="13"/>
  <c r="L9" i="13"/>
  <c r="C51" i="8" l="1"/>
  <c r="C49" i="8"/>
  <c r="C55" i="8" s="1"/>
  <c r="E37" i="8"/>
  <c r="H11" i="14"/>
  <c r="H10" i="14"/>
  <c r="H9" i="14"/>
  <c r="H8" i="14"/>
  <c r="H7" i="14"/>
  <c r="H6" i="14"/>
  <c r="H5" i="14"/>
  <c r="H4" i="14"/>
  <c r="H3" i="14"/>
  <c r="H2" i="14"/>
  <c r="L8" i="13"/>
  <c r="K8" i="13"/>
  <c r="J8" i="13"/>
  <c r="L7" i="13"/>
  <c r="K7" i="13"/>
  <c r="J7" i="13"/>
  <c r="L6" i="13"/>
  <c r="K6" i="13"/>
  <c r="J6" i="13"/>
  <c r="L5" i="13"/>
  <c r="K5" i="13"/>
  <c r="J5" i="13"/>
  <c r="L4" i="13"/>
  <c r="K4" i="13"/>
  <c r="J4" i="13"/>
  <c r="L3" i="13"/>
  <c r="K3" i="13"/>
  <c r="J3" i="13"/>
  <c r="L2" i="13"/>
  <c r="J2" i="13"/>
  <c r="K4" i="8"/>
  <c r="L43" i="12"/>
  <c r="K43" i="12"/>
  <c r="J43" i="12"/>
  <c r="I43" i="12"/>
  <c r="H43" i="12"/>
  <c r="G43" i="12"/>
  <c r="F43" i="12"/>
  <c r="E43" i="12"/>
  <c r="D43" i="12"/>
  <c r="C43" i="12"/>
  <c r="L42" i="12"/>
  <c r="K42" i="12"/>
  <c r="J42" i="12"/>
  <c r="I42" i="12"/>
  <c r="H42" i="12"/>
  <c r="G42" i="12"/>
  <c r="F42" i="12"/>
  <c r="E42" i="12"/>
  <c r="D42" i="12"/>
  <c r="C42" i="12"/>
  <c r="L41" i="12"/>
  <c r="K41" i="12"/>
  <c r="J41" i="12"/>
  <c r="I41" i="12"/>
  <c r="H41" i="12"/>
  <c r="G41" i="12"/>
  <c r="F41" i="12"/>
  <c r="E41" i="12"/>
  <c r="D41" i="12"/>
  <c r="C41" i="12"/>
  <c r="L40" i="12"/>
  <c r="K40" i="12"/>
  <c r="J40" i="12"/>
  <c r="I40" i="12"/>
  <c r="H40" i="12"/>
  <c r="G40" i="12"/>
  <c r="F40" i="12"/>
  <c r="E40" i="12"/>
  <c r="D40" i="12"/>
  <c r="C40" i="12"/>
  <c r="L39" i="12"/>
  <c r="K39" i="12"/>
  <c r="J39" i="12"/>
  <c r="I39" i="12"/>
  <c r="H39" i="12"/>
  <c r="G39" i="12"/>
  <c r="F39" i="12"/>
  <c r="E39" i="12"/>
  <c r="D39" i="12"/>
  <c r="C39" i="12"/>
  <c r="L38" i="12"/>
  <c r="K38" i="12"/>
  <c r="J38" i="12"/>
  <c r="I38" i="12"/>
  <c r="H38" i="12"/>
  <c r="G38" i="12"/>
  <c r="F38" i="12"/>
  <c r="E38" i="12"/>
  <c r="D38" i="12"/>
  <c r="C38" i="12"/>
  <c r="L37" i="12"/>
  <c r="K37" i="12"/>
  <c r="J37" i="12"/>
  <c r="I37" i="12"/>
  <c r="H37" i="12"/>
  <c r="G37" i="12"/>
  <c r="F37" i="12"/>
  <c r="E37" i="12"/>
  <c r="D37" i="12"/>
  <c r="C37" i="12"/>
  <c r="W34" i="12"/>
  <c r="U34" i="12"/>
  <c r="I34" i="12"/>
  <c r="X33" i="12"/>
  <c r="W33" i="12"/>
  <c r="V33" i="12"/>
  <c r="S33" i="12"/>
  <c r="I33" i="12"/>
  <c r="T32" i="12"/>
  <c r="S32" i="12"/>
  <c r="I32" i="12"/>
  <c r="X31" i="12"/>
  <c r="W31" i="12"/>
  <c r="I31" i="12"/>
  <c r="V30" i="12"/>
  <c r="T30" i="12"/>
  <c r="S30" i="12"/>
  <c r="I30" i="12"/>
  <c r="W29" i="12"/>
  <c r="V29" i="12"/>
  <c r="T29" i="12"/>
  <c r="I29" i="12"/>
  <c r="W28" i="12"/>
  <c r="T28" i="12"/>
  <c r="I28" i="12"/>
  <c r="I27" i="12"/>
  <c r="I26" i="12"/>
  <c r="I25" i="12"/>
  <c r="AA24" i="12"/>
  <c r="X24" i="12"/>
  <c r="X34" i="12" s="1"/>
  <c r="W24" i="12"/>
  <c r="V24" i="12"/>
  <c r="V34" i="12" s="1"/>
  <c r="U24" i="12"/>
  <c r="T24" i="12"/>
  <c r="T34" i="12" s="1"/>
  <c r="S24" i="12"/>
  <c r="S34" i="12" s="1"/>
  <c r="Y34" i="12" s="1"/>
  <c r="X23" i="12"/>
  <c r="W23" i="12"/>
  <c r="V23" i="12"/>
  <c r="U23" i="12"/>
  <c r="AA23" i="12" s="1"/>
  <c r="T23" i="12"/>
  <c r="T33" i="12" s="1"/>
  <c r="S23" i="12"/>
  <c r="X22" i="12"/>
  <c r="X32" i="12" s="1"/>
  <c r="W22" i="12"/>
  <c r="W32" i="12" s="1"/>
  <c r="V22" i="12"/>
  <c r="V32" i="12" s="1"/>
  <c r="U22" i="12"/>
  <c r="Y22" i="12" s="1"/>
  <c r="T22" i="12"/>
  <c r="S22" i="12"/>
  <c r="AA22" i="12" s="1"/>
  <c r="AA21" i="12"/>
  <c r="X21" i="12"/>
  <c r="W21" i="12"/>
  <c r="V21" i="12"/>
  <c r="V31" i="12" s="1"/>
  <c r="U21" i="12"/>
  <c r="U31" i="12" s="1"/>
  <c r="T21" i="12"/>
  <c r="T31" i="12" s="1"/>
  <c r="S21" i="12"/>
  <c r="Z21" i="12" s="1"/>
  <c r="AA20" i="12"/>
  <c r="X20" i="12"/>
  <c r="X30" i="12" s="1"/>
  <c r="W20" i="12"/>
  <c r="W30" i="12" s="1"/>
  <c r="V20" i="12"/>
  <c r="U20" i="12"/>
  <c r="U30" i="12" s="1"/>
  <c r="T20" i="12"/>
  <c r="S20" i="12"/>
  <c r="Z20" i="12" s="1"/>
  <c r="X19" i="12"/>
  <c r="X29" i="12" s="1"/>
  <c r="W19" i="12"/>
  <c r="V19" i="12"/>
  <c r="U19" i="12"/>
  <c r="U29" i="12" s="1"/>
  <c r="T19" i="12"/>
  <c r="S19" i="12"/>
  <c r="S29" i="12" s="1"/>
  <c r="Y29" i="12" s="1"/>
  <c r="X18" i="12"/>
  <c r="X28" i="12" s="1"/>
  <c r="W18" i="12"/>
  <c r="V18" i="12"/>
  <c r="V28" i="12" s="1"/>
  <c r="U18" i="12"/>
  <c r="U28" i="12" s="1"/>
  <c r="T18" i="12"/>
  <c r="S18" i="12"/>
  <c r="AA18" i="12" s="1"/>
  <c r="G14" i="12" a="1"/>
  <c r="G14" i="12" s="1"/>
  <c r="F14" i="12" a="1"/>
  <c r="F14" i="12" s="1"/>
  <c r="E14" i="12" a="1"/>
  <c r="E14" i="12" s="1"/>
  <c r="D14" i="12" a="1"/>
  <c r="D14" i="12" s="1"/>
  <c r="C14" i="12" a="1"/>
  <c r="C14" i="12" s="1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K14" i="12" s="1" a="1"/>
  <c r="K14" i="12" s="1"/>
  <c r="L4" i="12"/>
  <c r="J14" i="12" s="1" a="1"/>
  <c r="J14" i="12" s="1"/>
  <c r="K4" i="12"/>
  <c r="X19" i="8"/>
  <c r="X29" i="8" s="1"/>
  <c r="X20" i="8"/>
  <c r="X30" i="8" s="1"/>
  <c r="X21" i="8"/>
  <c r="X31" i="8" s="1"/>
  <c r="X22" i="8"/>
  <c r="X32" i="8" s="1"/>
  <c r="X23" i="8"/>
  <c r="X33" i="8" s="1"/>
  <c r="X24" i="8"/>
  <c r="X34" i="8" s="1"/>
  <c r="X18" i="8"/>
  <c r="X28" i="8" s="1"/>
  <c r="S19" i="8"/>
  <c r="S29" i="8" s="1"/>
  <c r="T19" i="8"/>
  <c r="T29" i="8" s="1"/>
  <c r="U19" i="8"/>
  <c r="U29" i="8" s="1"/>
  <c r="V19" i="8"/>
  <c r="V29" i="8" s="1"/>
  <c r="W19" i="8"/>
  <c r="W29" i="8" s="1"/>
  <c r="S20" i="8"/>
  <c r="T20" i="8"/>
  <c r="T30" i="8" s="1"/>
  <c r="U20" i="8"/>
  <c r="U30" i="8" s="1"/>
  <c r="V20" i="8"/>
  <c r="V30" i="8" s="1"/>
  <c r="W20" i="8"/>
  <c r="W30" i="8" s="1"/>
  <c r="S21" i="8"/>
  <c r="S31" i="8" s="1"/>
  <c r="T21" i="8"/>
  <c r="T31" i="8" s="1"/>
  <c r="U21" i="8"/>
  <c r="U31" i="8" s="1"/>
  <c r="V21" i="8"/>
  <c r="V31" i="8" s="1"/>
  <c r="W21" i="8"/>
  <c r="W31" i="8" s="1"/>
  <c r="S22" i="8"/>
  <c r="S32" i="8" s="1"/>
  <c r="T22" i="8"/>
  <c r="U22" i="8"/>
  <c r="U32" i="8" s="1"/>
  <c r="V22" i="8"/>
  <c r="V32" i="8" s="1"/>
  <c r="W22" i="8"/>
  <c r="W32" i="8" s="1"/>
  <c r="S23" i="8"/>
  <c r="S33" i="8" s="1"/>
  <c r="T23" i="8"/>
  <c r="T33" i="8" s="1"/>
  <c r="U23" i="8"/>
  <c r="U33" i="8" s="1"/>
  <c r="V23" i="8"/>
  <c r="V33" i="8" s="1"/>
  <c r="W23" i="8"/>
  <c r="W33" i="8" s="1"/>
  <c r="S24" i="8"/>
  <c r="S34" i="8" s="1"/>
  <c r="T24" i="8"/>
  <c r="U24" i="8"/>
  <c r="U34" i="8" s="1"/>
  <c r="V24" i="8"/>
  <c r="V34" i="8" s="1"/>
  <c r="W24" i="8"/>
  <c r="W34" i="8" s="1"/>
  <c r="T18" i="8"/>
  <c r="T28" i="8" s="1"/>
  <c r="U18" i="8"/>
  <c r="U28" i="8" s="1"/>
  <c r="V18" i="8"/>
  <c r="V28" i="8" s="1"/>
  <c r="W18" i="8"/>
  <c r="W28" i="8" s="1"/>
  <c r="S18" i="8"/>
  <c r="S28" i="8" s="1"/>
  <c r="L43" i="11"/>
  <c r="K43" i="11"/>
  <c r="J43" i="11"/>
  <c r="I43" i="11"/>
  <c r="H43" i="11"/>
  <c r="G43" i="11"/>
  <c r="F43" i="11"/>
  <c r="E43" i="11"/>
  <c r="D43" i="11"/>
  <c r="C43" i="11"/>
  <c r="L42" i="11"/>
  <c r="K42" i="11"/>
  <c r="J42" i="11"/>
  <c r="I42" i="11"/>
  <c r="H42" i="11"/>
  <c r="G42" i="11"/>
  <c r="F42" i="11"/>
  <c r="E42" i="11"/>
  <c r="D42" i="11"/>
  <c r="C42" i="11"/>
  <c r="L41" i="11"/>
  <c r="K41" i="11"/>
  <c r="J41" i="11"/>
  <c r="I41" i="11"/>
  <c r="H41" i="11"/>
  <c r="G41" i="11"/>
  <c r="F41" i="11"/>
  <c r="E41" i="11"/>
  <c r="D41" i="11"/>
  <c r="C41" i="11"/>
  <c r="L40" i="11"/>
  <c r="K40" i="11"/>
  <c r="J40" i="11"/>
  <c r="I40" i="11"/>
  <c r="H40" i="11"/>
  <c r="G40" i="11"/>
  <c r="F40" i="11"/>
  <c r="E40" i="11"/>
  <c r="D40" i="11"/>
  <c r="C40" i="11"/>
  <c r="L39" i="11"/>
  <c r="K39" i="11"/>
  <c r="J39" i="11"/>
  <c r="I39" i="11"/>
  <c r="H39" i="11"/>
  <c r="G39" i="11"/>
  <c r="F39" i="11"/>
  <c r="E39" i="11"/>
  <c r="D39" i="11"/>
  <c r="C39" i="11"/>
  <c r="L38" i="11"/>
  <c r="K38" i="11"/>
  <c r="J38" i="11"/>
  <c r="I38" i="11"/>
  <c r="H38" i="11"/>
  <c r="G38" i="11"/>
  <c r="F38" i="11"/>
  <c r="E38" i="11"/>
  <c r="D38" i="11"/>
  <c r="C38" i="11"/>
  <c r="L37" i="11"/>
  <c r="K37" i="11"/>
  <c r="J37" i="11"/>
  <c r="I37" i="11"/>
  <c r="H37" i="11"/>
  <c r="G37" i="11"/>
  <c r="F37" i="11"/>
  <c r="E37" i="11"/>
  <c r="D37" i="11"/>
  <c r="C37" i="11"/>
  <c r="I34" i="11"/>
  <c r="I33" i="11"/>
  <c r="I32" i="11"/>
  <c r="I31" i="11"/>
  <c r="I30" i="11"/>
  <c r="I29" i="11"/>
  <c r="I28" i="11"/>
  <c r="I27" i="11"/>
  <c r="I26" i="11"/>
  <c r="I25" i="1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L43" i="10"/>
  <c r="K43" i="10"/>
  <c r="J43" i="10"/>
  <c r="I43" i="10"/>
  <c r="H43" i="10"/>
  <c r="G43" i="10"/>
  <c r="F43" i="10"/>
  <c r="E43" i="10"/>
  <c r="D43" i="10"/>
  <c r="C43" i="10"/>
  <c r="L42" i="10"/>
  <c r="K42" i="10"/>
  <c r="J42" i="10"/>
  <c r="I42" i="10"/>
  <c r="H42" i="10"/>
  <c r="G42" i="10"/>
  <c r="F42" i="10"/>
  <c r="E42" i="10"/>
  <c r="D42" i="10"/>
  <c r="C42" i="10"/>
  <c r="L41" i="10"/>
  <c r="K41" i="10"/>
  <c r="J41" i="10"/>
  <c r="I41" i="10"/>
  <c r="H41" i="10"/>
  <c r="G41" i="10"/>
  <c r="F41" i="10"/>
  <c r="E41" i="10"/>
  <c r="D41" i="10"/>
  <c r="C41" i="10"/>
  <c r="L40" i="10"/>
  <c r="K40" i="10"/>
  <c r="J40" i="10"/>
  <c r="I40" i="10"/>
  <c r="H40" i="10"/>
  <c r="G40" i="10"/>
  <c r="F40" i="10"/>
  <c r="E40" i="10"/>
  <c r="D40" i="10"/>
  <c r="C40" i="10"/>
  <c r="L39" i="10"/>
  <c r="K39" i="10"/>
  <c r="J39" i="10"/>
  <c r="I39" i="10"/>
  <c r="H39" i="10"/>
  <c r="G39" i="10"/>
  <c r="F39" i="10"/>
  <c r="E39" i="10"/>
  <c r="D39" i="10"/>
  <c r="C39" i="10"/>
  <c r="L38" i="10"/>
  <c r="K38" i="10"/>
  <c r="J38" i="10"/>
  <c r="I38" i="10"/>
  <c r="H38" i="10"/>
  <c r="G38" i="10"/>
  <c r="F38" i="10"/>
  <c r="E38" i="10"/>
  <c r="D38" i="10"/>
  <c r="C38" i="10"/>
  <c r="L37" i="10"/>
  <c r="K37" i="10"/>
  <c r="J37" i="10"/>
  <c r="I37" i="10"/>
  <c r="H37" i="10"/>
  <c r="G37" i="10"/>
  <c r="F37" i="10"/>
  <c r="E37" i="10"/>
  <c r="D37" i="10"/>
  <c r="C37" i="10"/>
  <c r="I34" i="10"/>
  <c r="I33" i="10"/>
  <c r="I32" i="10"/>
  <c r="I31" i="10"/>
  <c r="I30" i="10"/>
  <c r="I29" i="10"/>
  <c r="I28" i="10"/>
  <c r="I27" i="10"/>
  <c r="I26" i="10"/>
  <c r="I25" i="10"/>
  <c r="G14" i="10"/>
  <c r="G14" i="10" a="1"/>
  <c r="F14" i="10" a="1"/>
  <c r="F14" i="10" s="1"/>
  <c r="E14" i="10" a="1"/>
  <c r="E14" i="10" s="1"/>
  <c r="D14" i="10" a="1"/>
  <c r="D14" i="10" s="1"/>
  <c r="C14" i="10" a="1"/>
  <c r="C14" i="10" s="1"/>
  <c r="M10" i="10"/>
  <c r="L10" i="10"/>
  <c r="K10" i="10"/>
  <c r="M9" i="10"/>
  <c r="L9" i="10"/>
  <c r="K9" i="10"/>
  <c r="M8" i="10"/>
  <c r="L8" i="10"/>
  <c r="K8" i="10"/>
  <c r="M7" i="10"/>
  <c r="L7" i="10"/>
  <c r="K7" i="10"/>
  <c r="M6" i="10"/>
  <c r="L6" i="10"/>
  <c r="K6" i="10"/>
  <c r="M5" i="10"/>
  <c r="L5" i="10"/>
  <c r="K5" i="10"/>
  <c r="M4" i="10"/>
  <c r="K14" i="10" s="1" a="1"/>
  <c r="K14" i="10" s="1"/>
  <c r="L4" i="10"/>
  <c r="J14" i="10" s="1" a="1"/>
  <c r="J14" i="10" s="1"/>
  <c r="K4" i="10"/>
  <c r="C38" i="8"/>
  <c r="D38" i="8"/>
  <c r="E38" i="8"/>
  <c r="F38" i="8"/>
  <c r="G38" i="8"/>
  <c r="H38" i="8"/>
  <c r="I38" i="8"/>
  <c r="J38" i="8"/>
  <c r="K38" i="8"/>
  <c r="L38" i="8"/>
  <c r="C39" i="8"/>
  <c r="D39" i="8"/>
  <c r="E39" i="8"/>
  <c r="F39" i="8"/>
  <c r="G39" i="8"/>
  <c r="H39" i="8"/>
  <c r="I39" i="8"/>
  <c r="J39" i="8"/>
  <c r="K39" i="8"/>
  <c r="L39" i="8"/>
  <c r="C40" i="8"/>
  <c r="D40" i="8"/>
  <c r="E40" i="8"/>
  <c r="F40" i="8"/>
  <c r="G40" i="8"/>
  <c r="H40" i="8"/>
  <c r="I40" i="8"/>
  <c r="J40" i="8"/>
  <c r="K40" i="8"/>
  <c r="L40" i="8"/>
  <c r="C41" i="8"/>
  <c r="D41" i="8"/>
  <c r="E41" i="8"/>
  <c r="F41" i="8"/>
  <c r="G41" i="8"/>
  <c r="H41" i="8"/>
  <c r="I41" i="8"/>
  <c r="J41" i="8"/>
  <c r="K41" i="8"/>
  <c r="L41" i="8"/>
  <c r="C42" i="8"/>
  <c r="D42" i="8"/>
  <c r="E42" i="8"/>
  <c r="F42" i="8"/>
  <c r="G42" i="8"/>
  <c r="H42" i="8"/>
  <c r="I42" i="8"/>
  <c r="J42" i="8"/>
  <c r="K42" i="8"/>
  <c r="L42" i="8"/>
  <c r="C43" i="8"/>
  <c r="D43" i="8"/>
  <c r="E43" i="8"/>
  <c r="F43" i="8"/>
  <c r="G43" i="8"/>
  <c r="H43" i="8"/>
  <c r="I43" i="8"/>
  <c r="J43" i="8"/>
  <c r="K43" i="8"/>
  <c r="L43" i="8"/>
  <c r="D37" i="8"/>
  <c r="F37" i="8"/>
  <c r="G37" i="8"/>
  <c r="H37" i="8"/>
  <c r="I37" i="8"/>
  <c r="J37" i="8"/>
  <c r="K37" i="8"/>
  <c r="L37" i="8"/>
  <c r="C37" i="8"/>
  <c r="K7" i="8"/>
  <c r="I25" i="8"/>
  <c r="I26" i="8"/>
  <c r="I27" i="8"/>
  <c r="I28" i="8"/>
  <c r="I29" i="8"/>
  <c r="I30" i="8"/>
  <c r="I31" i="8"/>
  <c r="I32" i="8"/>
  <c r="I33" i="8"/>
  <c r="I34" i="8"/>
  <c r="G14" i="8" a="1"/>
  <c r="G14" i="8" s="1"/>
  <c r="F14" i="8" a="1"/>
  <c r="F14" i="8" s="1"/>
  <c r="E14" i="8" a="1"/>
  <c r="E14" i="8" s="1"/>
  <c r="D14" i="8" a="1"/>
  <c r="D14" i="8" s="1"/>
  <c r="C14" i="8" a="1"/>
  <c r="C14" i="8" s="1"/>
  <c r="M10" i="8"/>
  <c r="L10" i="8"/>
  <c r="K10" i="8"/>
  <c r="M9" i="8"/>
  <c r="L9" i="8"/>
  <c r="K9" i="8"/>
  <c r="M8" i="8"/>
  <c r="L8" i="8"/>
  <c r="K8" i="8"/>
  <c r="M7" i="8"/>
  <c r="L7" i="8"/>
  <c r="M6" i="8"/>
  <c r="L6" i="8"/>
  <c r="K6" i="8"/>
  <c r="M5" i="8"/>
  <c r="L5" i="8"/>
  <c r="K5" i="8"/>
  <c r="M4" i="8"/>
  <c r="L4" i="8"/>
  <c r="K4" i="4"/>
  <c r="M4" i="7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J14" i="7" s="1" a="1"/>
  <c r="J14" i="7" s="1"/>
  <c r="K5" i="7"/>
  <c r="L4" i="7"/>
  <c r="K4" i="7"/>
  <c r="C14" i="4" a="1"/>
  <c r="C14" i="4" s="1"/>
  <c r="G14" i="4" a="1"/>
  <c r="G14" i="4" s="1"/>
  <c r="F14" i="4" a="1"/>
  <c r="F14" i="4" s="1"/>
  <c r="E14" i="4" a="1"/>
  <c r="E14" i="4" s="1"/>
  <c r="D14" i="4" a="1"/>
  <c r="D14" i="4" s="1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L44" i="8" l="1"/>
  <c r="B49" i="8"/>
  <c r="C44" i="8"/>
  <c r="J44" i="8"/>
  <c r="K44" i="8"/>
  <c r="H44" i="8"/>
  <c r="I44" i="8"/>
  <c r="G44" i="8"/>
  <c r="F44" i="8"/>
  <c r="D44" i="8"/>
  <c r="Z21" i="8"/>
  <c r="E44" i="8"/>
  <c r="M37" i="8"/>
  <c r="M40" i="8"/>
  <c r="M39" i="8"/>
  <c r="M41" i="8"/>
  <c r="M42" i="8"/>
  <c r="M43" i="8"/>
  <c r="M38" i="8"/>
  <c r="Z20" i="8"/>
  <c r="AA20" i="8"/>
  <c r="AA22" i="8"/>
  <c r="AA24" i="8"/>
  <c r="Z23" i="8"/>
  <c r="Y28" i="8"/>
  <c r="Y29" i="8"/>
  <c r="Y31" i="8"/>
  <c r="Y33" i="8"/>
  <c r="AA23" i="8"/>
  <c r="Y20" i="8"/>
  <c r="T34" i="8"/>
  <c r="Y34" i="8" s="1"/>
  <c r="T32" i="8"/>
  <c r="Y32" i="8" s="1"/>
  <c r="S30" i="8"/>
  <c r="Y30" i="8" s="1"/>
  <c r="Y19" i="8"/>
  <c r="Y30" i="12"/>
  <c r="Y20" i="12"/>
  <c r="Y24" i="12"/>
  <c r="Z24" i="12"/>
  <c r="U33" i="12"/>
  <c r="Y33" i="12" s="1"/>
  <c r="Y19" i="12"/>
  <c r="Y23" i="12"/>
  <c r="Z23" i="12"/>
  <c r="Z19" i="12"/>
  <c r="AA19" i="12"/>
  <c r="U32" i="12"/>
  <c r="Y32" i="12" s="1"/>
  <c r="Z22" i="12"/>
  <c r="Y18" i="12"/>
  <c r="Z18" i="12"/>
  <c r="S28" i="12"/>
  <c r="Y28" i="12" s="1"/>
  <c r="S31" i="12"/>
  <c r="Y31" i="12" s="1"/>
  <c r="Y21" i="12"/>
  <c r="Z22" i="8"/>
  <c r="Z24" i="8"/>
  <c r="Y24" i="8"/>
  <c r="AA19" i="8"/>
  <c r="Y21" i="8"/>
  <c r="AA18" i="8"/>
  <c r="AA21" i="8"/>
  <c r="Y22" i="8"/>
  <c r="Y23" i="8"/>
  <c r="Z19" i="8"/>
  <c r="Y18" i="8"/>
  <c r="Z18" i="8"/>
  <c r="K14" i="11" a="1"/>
  <c r="K14" i="11" s="1"/>
  <c r="J14" i="11" a="1"/>
  <c r="J14" i="11" s="1"/>
  <c r="K14" i="8" a="1"/>
  <c r="K14" i="8" s="1"/>
  <c r="J14" i="8" a="1"/>
  <c r="J14" i="8" s="1"/>
  <c r="K14" i="7" a="1"/>
  <c r="K14" i="7" s="1"/>
  <c r="J14" i="4" a="1"/>
  <c r="J14" i="4" s="1"/>
  <c r="K14" i="4" a="1"/>
  <c r="K14" i="4" s="1"/>
  <c r="M44" i="8" l="1"/>
  <c r="C47" i="8"/>
  <c r="B47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<sst xmlns="http://schemas.openxmlformats.org/spreadsheetml/2006/main" count="582" uniqueCount="73">
  <si>
    <t>Q1. Equal Weights</t>
  </si>
  <si>
    <t>Q2. Different Weights</t>
  </si>
  <si>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</si>
  <si>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</si>
  <si>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</si>
  <si>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</si>
  <si>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</si>
  <si>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</si>
  <si>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</si>
  <si>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</si>
  <si>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</si>
  <si>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</si>
  <si>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Q1. Min Cost&amp; Enve&amp;Social Risk</t>
  </si>
  <si>
    <t xml:space="preserve">Q2. Max Improvement </t>
  </si>
  <si>
    <t>A</t>
  </si>
  <si>
    <t>B</t>
  </si>
  <si>
    <t>C</t>
  </si>
  <si>
    <t>D</t>
  </si>
  <si>
    <t>E</t>
  </si>
  <si>
    <t>F</t>
  </si>
  <si>
    <t>G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</si>
  <si>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</si>
  <si>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</si>
  <si>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</si>
  <si>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</si>
  <si>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</si>
  <si>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</si>
  <si>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</si>
  <si>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</si>
  <si>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</si>
  <si>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</si>
  <si>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</si>
  <si>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</si>
  <si>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</si>
  <si>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</si>
  <si>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</si>
  <si>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</si>
  <si>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</si>
  <si>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</si>
  <si>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</si>
  <si>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without issues</t>
  </si>
  <si>
    <t>G &amp; D</t>
  </si>
  <si>
    <t>D &amp; G</t>
  </si>
  <si>
    <t>Notes</t>
  </si>
  <si>
    <t>Ideal supplier.</t>
  </si>
  <si>
    <r>
      <t xml:space="preserve">Good supplier with no compliance issues, but </t>
    </r>
    <r>
      <rPr>
        <b/>
        <sz val="11"/>
        <color theme="1"/>
        <rFont val="Calibri"/>
        <family val="2"/>
        <scheme val="minor"/>
      </rPr>
      <t>too costly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</si>
  <si>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0000"/>
        <rFont val="Calibri"/>
        <family val="2"/>
      </rPr>
      <t xml:space="preserve">Need to add requirements for </t>
    </r>
    <r>
      <rPr>
        <sz val="11"/>
        <color rgb="FFFF0000"/>
        <rFont val="Calibri"/>
        <family val="2"/>
      </rPr>
      <t>child labor.</t>
    </r>
  </si>
  <si>
    <r>
      <t xml:space="preserve">Need to add requirements for </t>
    </r>
    <r>
      <rPr>
        <sz val="11"/>
        <color rgb="FFFF0000"/>
        <rFont val="Calibri"/>
        <family val="2"/>
        <scheme val="minor"/>
      </rPr>
      <t>banned chemicals.</t>
    </r>
  </si>
  <si>
    <t>E/B</t>
  </si>
  <si>
    <r>
      <t xml:space="preserve">Can choose work on </t>
    </r>
    <r>
      <rPr>
        <sz val="11"/>
        <color theme="9" tint="-0.249977111117893"/>
        <rFont val="Calibri (Body)"/>
      </rPr>
      <t>quality problems</t>
    </r>
    <r>
      <rPr>
        <sz val="11"/>
        <color rgb="FFFFC000"/>
        <rFont val="Calibri (Body)"/>
      </rPr>
      <t xml:space="preserve"> </t>
    </r>
    <r>
      <rPr>
        <sz val="11"/>
        <color theme="1"/>
        <rFont val="Calibri"/>
        <family val="2"/>
        <scheme val="minor"/>
      </rPr>
      <t xml:space="preserve">instead of </t>
    </r>
    <r>
      <rPr>
        <sz val="11"/>
        <color rgb="FFFF0000"/>
        <rFont val="Calibri (Body)"/>
      </rPr>
      <t>A</t>
    </r>
    <r>
      <rPr>
        <sz val="11"/>
        <color theme="1"/>
        <rFont val="Calibri"/>
        <family val="2"/>
        <scheme val="minor"/>
      </rPr>
      <t xml:space="preserve"> or </t>
    </r>
    <r>
      <rPr>
        <sz val="11"/>
        <color rgb="FFFF0000"/>
        <rFont val="Calibri (Body)"/>
      </rPr>
      <t>C</t>
    </r>
    <r>
      <rPr>
        <sz val="11"/>
        <color theme="9"/>
        <rFont val="Calibri"/>
        <family val="2"/>
        <scheme val="minor"/>
      </rPr>
      <t>.</t>
    </r>
  </si>
  <si>
    <r>
      <t xml:space="preserve">High risk and suspected both </t>
    </r>
    <r>
      <rPr>
        <sz val="11"/>
        <color rgb="FFFF0000"/>
        <rFont val="Calibri"/>
        <family val="2"/>
        <scheme val="minor"/>
      </rPr>
      <t>child labor and banned chemicals</t>
    </r>
    <r>
      <rPr>
        <sz val="11"/>
        <color theme="1"/>
        <rFont val="Calibri"/>
        <family val="2"/>
        <scheme val="minor"/>
      </rPr>
      <t>.</t>
    </r>
  </si>
  <si>
    <r>
      <t xml:space="preserve">Need to add requirements for </t>
    </r>
    <r>
      <rPr>
        <sz val="11"/>
        <color rgb="FFFF0000"/>
        <rFont val="Calibri"/>
        <family val="2"/>
        <scheme val="minor"/>
      </rPr>
      <t>child labor.</t>
    </r>
  </si>
  <si>
    <t>Users</t>
  </si>
  <si>
    <t>Utility Function</t>
  </si>
  <si>
    <t>Supplier/User</t>
  </si>
  <si>
    <t>Policy</t>
  </si>
  <si>
    <t>Effective Cost</t>
  </si>
  <si>
    <t>User Utilities</t>
  </si>
  <si>
    <t>Penalty1</t>
  </si>
  <si>
    <t>Penalty2</t>
  </si>
  <si>
    <t>Model</t>
  </si>
  <si>
    <t xml:space="preserve">Number of Matches </t>
  </si>
  <si>
    <t>Utility Threshold</t>
  </si>
  <si>
    <t>Objective</t>
  </si>
  <si>
    <t>Total</t>
  </si>
  <si>
    <t>Best Utility Supplier</t>
  </si>
  <si>
    <t>Min Cost Supplier</t>
  </si>
  <si>
    <t>Total Cost</t>
  </si>
  <si>
    <t>Selling Price</t>
  </si>
  <si>
    <t>H</t>
  </si>
  <si>
    <t>I</t>
  </si>
  <si>
    <t>J</t>
  </si>
  <si>
    <t>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</si>
</sst>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trike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C000"/>
      <name val="Calibri (Body)"/>
    </font>
    <font>
      <sz val="11"/>
      <color rgb="FFFF0000"/>
      <name val="Calibri (Body)"/>
    </font>
    <font>
      <sz val="11"/>
      <color theme="9" tint="-0.249977111117893"/>
      <name val="Calibri (Body)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7" fillId="0" borderId="0" xfId="0" applyFont="1"/>
    <xf numFmtId="0" fontId="7" fillId="0" borderId="1" xfId="0" applyFont="1" applyBorder="1"/>
    <xf numFmtId="0" fontId="7" fillId="0" borderId="4" xfId="0" applyFont="1" applyBorder="1"/>
    <xf numFmtId="0" fontId="4" fillId="11" borderId="1" xfId="0" applyFont="1" applyFill="1" applyBorder="1"/>
    <xf numFmtId="0" fontId="8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9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13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vertical="center" wrapText="1"/>
    </xf>
    <xf numFmtId="0" fontId="1" fillId="2" borderId="9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2" xfId="0" applyFill="1" applyBorder="1"/>
    <xf numFmtId="2" fontId="0" fillId="0" borderId="2" xfId="0" applyNumberFormat="1" applyFill="1" applyBorder="1"/>
    <xf numFmtId="0" fontId="0" fillId="3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4FB7B-F740-D647-AAB6-CBE8933C7908}">
  <dimension ref="A1:R31"/>
  <sheetViews>
    <sheetView showGridLines="0" zoomScale="70" zoomScaleNormal="70" workbookViewId="0">
      <selection activeCell="K22" sqref="K22"/>
    </sheetView>
  </sheetViews>
  <sheetFormatPr defaultColWidth="8.6640625" defaultRowHeight="14.4"/>
  <cols>
    <col min="1" max="1" width="8.6640625" customWidth="1"/>
    <col min="2" max="2" width="19" style="3" bestFit="1" customWidth="1"/>
    <col min="3" max="14" width="13.6640625" customWidth="1"/>
    <col min="15" max="15" width="12.109375" bestFit="1" customWidth="1"/>
    <col min="16" max="16" width="13.109375" customWidth="1"/>
  </cols>
  <sheetData>
    <row r="1" spans="2:18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</row>
    <row r="4" spans="2:18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</row>
    <row r="5" spans="2:18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</row>
    <row r="6" spans="2:18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</row>
    <row r="13" spans="2:18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</row>
    <row r="14" spans="2:18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18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18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2" spans="1:18">
      <c r="I22" t="s">
        <v>40</v>
      </c>
      <c r="J22" t="s">
        <v>41</v>
      </c>
      <c r="K22" t="s">
        <v>42</v>
      </c>
    </row>
    <row r="23" spans="1:18">
      <c r="B23" s="63" t="s">
        <v>2</v>
      </c>
      <c r="C23" s="65" t="s">
        <v>43</v>
      </c>
      <c r="D23" s="66"/>
      <c r="E23" s="66"/>
      <c r="F23" s="66"/>
    </row>
    <row r="24" spans="1:18">
      <c r="B24" s="64"/>
      <c r="C24" s="65"/>
      <c r="D24" s="66"/>
      <c r="E24" s="66"/>
      <c r="F24" s="66"/>
    </row>
    <row r="25" spans="1:18">
      <c r="B25" s="7" t="s">
        <v>20</v>
      </c>
      <c r="C25" s="67" t="s">
        <v>44</v>
      </c>
      <c r="D25" s="67"/>
      <c r="E25" s="67"/>
      <c r="F25" s="67"/>
    </row>
    <row r="26" spans="1:18">
      <c r="B26" s="7" t="s">
        <v>17</v>
      </c>
      <c r="C26" s="67" t="s">
        <v>45</v>
      </c>
      <c r="D26" s="67"/>
      <c r="E26" s="67"/>
      <c r="F26" s="67"/>
    </row>
    <row r="27" spans="1:18">
      <c r="B27" s="12" t="s">
        <v>14</v>
      </c>
      <c r="C27" s="68" t="s">
        <v>46</v>
      </c>
      <c r="D27" s="67"/>
      <c r="E27" s="67"/>
      <c r="F27" s="67"/>
    </row>
    <row r="28" spans="1:18">
      <c r="B28" s="12" t="s">
        <v>16</v>
      </c>
      <c r="C28" s="67" t="s">
        <v>47</v>
      </c>
      <c r="D28" s="67"/>
      <c r="E28" s="67"/>
      <c r="F28" s="67"/>
    </row>
    <row r="29" spans="1:18">
      <c r="B29" s="13" t="s">
        <v>48</v>
      </c>
      <c r="C29" s="60" t="s">
        <v>49</v>
      </c>
      <c r="D29" s="61"/>
      <c r="E29" s="61"/>
      <c r="F29" s="62"/>
    </row>
    <row r="30" spans="1:18">
      <c r="B30" s="12" t="s">
        <v>19</v>
      </c>
      <c r="C30" s="60" t="s">
        <v>50</v>
      </c>
      <c r="D30" s="61"/>
      <c r="E30" s="61"/>
      <c r="F30" s="62"/>
    </row>
    <row r="31" spans="1:18">
      <c r="B31"/>
    </row>
  </sheetData>
  <mergeCells count="14">
    <mergeCell ref="C29:F29"/>
    <mergeCell ref="C30:F30"/>
    <mergeCell ref="B23:B24"/>
    <mergeCell ref="C23:F24"/>
    <mergeCell ref="C25:F25"/>
    <mergeCell ref="C26:F26"/>
    <mergeCell ref="C27:F27"/>
    <mergeCell ref="C28:F28"/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1D23-A9BF-4888-82FF-4B380FFFC271}">
  <dimension ref="A1:L12"/>
  <sheetViews>
    <sheetView tabSelected="1" workbookViewId="0">
      <selection activeCell="E13" sqref="E13"/>
    </sheetView>
  </sheetViews>
  <sheetFormatPr defaultRowHeight="14.4"/>
  <cols>
    <col min="1" max="1" width="18.5546875" bestFit="1" customWidth="1"/>
    <col min="2" max="2" width="8.6640625" bestFit="1" customWidth="1"/>
    <col min="11" max="11" width="8.77734375" bestFit="1" customWidth="1"/>
  </cols>
  <sheetData>
    <row r="1" spans="1:12" ht="55.2">
      <c r="A1" s="4" t="s">
        <v>2</v>
      </c>
      <c r="B1" s="15" t="s">
        <v>3</v>
      </c>
      <c r="C1" s="15" t="s">
        <v>4</v>
      </c>
      <c r="D1" s="15" t="s">
        <v>5</v>
      </c>
      <c r="E1" s="15" t="s">
        <v>6</v>
      </c>
      <c r="F1" s="15" t="s">
        <v>7</v>
      </c>
      <c r="G1" s="16" t="s">
        <v>8</v>
      </c>
      <c r="H1" s="16" t="s">
        <v>9</v>
      </c>
      <c r="I1" s="17" t="s">
        <v>10</v>
      </c>
      <c r="J1" s="33" t="s">
        <v>11</v>
      </c>
      <c r="K1" s="14" t="s">
        <v>12</v>
      </c>
      <c r="L1" s="18" t="s">
        <v>13</v>
      </c>
    </row>
    <row r="2" spans="1:12">
      <c r="A2" s="10" t="s">
        <v>14</v>
      </c>
      <c r="B2" s="2">
        <v>2</v>
      </c>
      <c r="C2" s="2">
        <v>4</v>
      </c>
      <c r="D2" s="2">
        <v>1</v>
      </c>
      <c r="E2" s="2">
        <v>3</v>
      </c>
      <c r="F2" s="2">
        <v>4</v>
      </c>
      <c r="G2" s="6">
        <v>1</v>
      </c>
      <c r="H2" s="6">
        <v>0</v>
      </c>
      <c r="I2" s="6">
        <v>0</v>
      </c>
      <c r="J2" s="1">
        <f>SUM(B2:F2)</f>
        <v>14</v>
      </c>
      <c r="K2" s="26" t="e">
        <f>SUMPRODUCT(#REF!,B2:D2)/SUM(#REF!)</f>
        <v>#REF!</v>
      </c>
      <c r="L2" s="26" t="e">
        <f>SUMPRODUCT(B2:F2,#REF!)/SUM(#REF!)</f>
        <v>#REF!</v>
      </c>
    </row>
    <row r="3" spans="1:12">
      <c r="A3" s="10" t="s">
        <v>15</v>
      </c>
      <c r="B3" s="2">
        <v>3</v>
      </c>
      <c r="C3" s="2">
        <v>5</v>
      </c>
      <c r="D3" s="2">
        <v>2</v>
      </c>
      <c r="E3" s="2">
        <v>3</v>
      </c>
      <c r="F3" s="2">
        <v>3</v>
      </c>
      <c r="G3" s="6">
        <v>0</v>
      </c>
      <c r="H3" s="6">
        <v>0</v>
      </c>
      <c r="I3" s="6">
        <v>1</v>
      </c>
      <c r="J3" s="1">
        <f t="shared" ref="J3:J9" si="0">SUM(B3:F3)</f>
        <v>16</v>
      </c>
      <c r="K3" s="26" t="e">
        <f>SUMPRODUCT(#REF!,B3:D3)/SUM(#REF!)</f>
        <v>#REF!</v>
      </c>
      <c r="L3" s="26" t="e">
        <f>SUMPRODUCT(B3:F3,#REF!)/SUM(#REF!)</f>
        <v>#REF!</v>
      </c>
    </row>
    <row r="4" spans="1:12">
      <c r="A4" s="10" t="s">
        <v>16</v>
      </c>
      <c r="B4" s="2">
        <v>2</v>
      </c>
      <c r="C4" s="2">
        <v>1</v>
      </c>
      <c r="D4" s="2">
        <v>3</v>
      </c>
      <c r="E4" s="2">
        <v>2</v>
      </c>
      <c r="F4" s="2">
        <v>3</v>
      </c>
      <c r="G4" s="6">
        <v>0</v>
      </c>
      <c r="H4" s="6">
        <v>1</v>
      </c>
      <c r="I4" s="6">
        <v>0</v>
      </c>
      <c r="J4" s="1">
        <f t="shared" si="0"/>
        <v>11</v>
      </c>
      <c r="K4" s="26" t="e">
        <f>SUMPRODUCT(#REF!,B4:D4)/SUM(#REF!)</f>
        <v>#REF!</v>
      </c>
      <c r="L4" s="26" t="e">
        <f>SUMPRODUCT(B4:F4,#REF!)/SUM(#REF!)</f>
        <v>#REF!</v>
      </c>
    </row>
    <row r="5" spans="1:12">
      <c r="A5" s="10" t="s">
        <v>17</v>
      </c>
      <c r="B5" s="2">
        <v>2</v>
      </c>
      <c r="C5" s="2">
        <v>2</v>
      </c>
      <c r="D5" s="2">
        <v>5</v>
      </c>
      <c r="E5" s="2">
        <v>2</v>
      </c>
      <c r="F5" s="2">
        <v>2</v>
      </c>
      <c r="G5" s="6">
        <v>0</v>
      </c>
      <c r="H5" s="6">
        <v>0</v>
      </c>
      <c r="I5" s="6">
        <v>0</v>
      </c>
      <c r="J5" s="1">
        <f>SUM(B5:F5)</f>
        <v>13</v>
      </c>
      <c r="K5" s="26" t="e">
        <f>SUMPRODUCT(#REF!,B5:D5)/SUM(#REF!)</f>
        <v>#REF!</v>
      </c>
      <c r="L5" s="26" t="e">
        <f>SUMPRODUCT(B5:F5,#REF!)/SUM(#REF!)</f>
        <v>#REF!</v>
      </c>
    </row>
    <row r="6" spans="1:12">
      <c r="A6" s="10" t="s">
        <v>18</v>
      </c>
      <c r="B6" s="2">
        <v>3</v>
      </c>
      <c r="C6" s="2">
        <v>4</v>
      </c>
      <c r="D6" s="2">
        <v>3</v>
      </c>
      <c r="E6" s="2">
        <v>2</v>
      </c>
      <c r="F6" s="2">
        <v>5</v>
      </c>
      <c r="G6" s="6">
        <v>0</v>
      </c>
      <c r="H6" s="6">
        <v>0</v>
      </c>
      <c r="I6" s="6">
        <v>1</v>
      </c>
      <c r="J6" s="1">
        <f t="shared" si="0"/>
        <v>17</v>
      </c>
      <c r="K6" s="26" t="e">
        <f>SUMPRODUCT(#REF!,B6:D6)/SUM(#REF!)</f>
        <v>#REF!</v>
      </c>
      <c r="L6" s="26" t="e">
        <f>SUMPRODUCT(B6:F6,#REF!)/SUM(#REF!)</f>
        <v>#REF!</v>
      </c>
    </row>
    <row r="7" spans="1:12">
      <c r="A7" s="10" t="s">
        <v>19</v>
      </c>
      <c r="B7" s="2">
        <v>5</v>
      </c>
      <c r="C7" s="2">
        <v>4</v>
      </c>
      <c r="D7" s="2">
        <v>2</v>
      </c>
      <c r="E7" s="2">
        <v>4</v>
      </c>
      <c r="F7" s="2">
        <v>4</v>
      </c>
      <c r="G7" s="6">
        <v>1</v>
      </c>
      <c r="H7" s="6">
        <v>1</v>
      </c>
      <c r="I7" s="6">
        <v>0</v>
      </c>
      <c r="J7" s="1">
        <f t="shared" si="0"/>
        <v>19</v>
      </c>
      <c r="K7" s="26" t="e">
        <f>SUMPRODUCT(#REF!,B7:D7)/SUM(#REF!)</f>
        <v>#REF!</v>
      </c>
      <c r="L7" s="26" t="e">
        <f>SUMPRODUCT(B7:F7,#REF!)/SUM(#REF!)</f>
        <v>#REF!</v>
      </c>
    </row>
    <row r="8" spans="1:12">
      <c r="A8" s="10" t="s">
        <v>20</v>
      </c>
      <c r="B8" s="2">
        <v>2</v>
      </c>
      <c r="C8" s="2">
        <v>1</v>
      </c>
      <c r="D8" s="2">
        <v>3</v>
      </c>
      <c r="E8" s="2">
        <v>3</v>
      </c>
      <c r="F8" s="2">
        <v>3</v>
      </c>
      <c r="G8" s="6">
        <v>0</v>
      </c>
      <c r="H8" s="6">
        <v>0</v>
      </c>
      <c r="I8" s="6">
        <v>0</v>
      </c>
      <c r="J8" s="1">
        <f t="shared" si="0"/>
        <v>12</v>
      </c>
      <c r="K8" s="26" t="e">
        <f>SUMPRODUCT(#REF!,B8:D8)/SUM(#REF!)</f>
        <v>#REF!</v>
      </c>
      <c r="L8" s="26" t="e">
        <f>SUMPRODUCT(B8:F8,#REF!)/SUM(#REF!)</f>
        <v>#REF!</v>
      </c>
    </row>
    <row r="9" spans="1:12">
      <c r="A9" s="52" t="s">
        <v>69</v>
      </c>
      <c r="B9" s="69">
        <v>3</v>
      </c>
      <c r="C9" s="69">
        <v>4</v>
      </c>
      <c r="D9" s="69">
        <v>1</v>
      </c>
      <c r="E9" s="69">
        <v>2</v>
      </c>
      <c r="F9" s="69">
        <v>1</v>
      </c>
      <c r="G9" s="72">
        <v>0</v>
      </c>
      <c r="H9" s="72">
        <v>0</v>
      </c>
      <c r="I9" s="72">
        <v>0</v>
      </c>
      <c r="J9" s="70">
        <f>SUM(B9:I9)</f>
        <v>11</v>
      </c>
      <c r="L9" s="71" t="e">
        <f>SUMPRODUCT(B9:F9,#REF!)/SUM(#REF!)</f>
        <v>#REF!</v>
      </c>
    </row>
    <row r="10" spans="1:12">
      <c r="A10" s="52" t="s">
        <v>70</v>
      </c>
      <c r="B10" s="69">
        <v>1</v>
      </c>
      <c r="C10" s="69">
        <v>2</v>
      </c>
      <c r="D10" s="69">
        <v>3</v>
      </c>
      <c r="E10" s="69">
        <v>1</v>
      </c>
      <c r="F10" s="69">
        <v>5</v>
      </c>
      <c r="G10" s="72">
        <v>1</v>
      </c>
      <c r="H10" s="72">
        <v>0</v>
      </c>
      <c r="I10" s="72">
        <v>0</v>
      </c>
      <c r="J10" s="70">
        <f>SUM(B10:I10)</f>
        <v>13</v>
      </c>
      <c r="L10" s="71" t="e">
        <f>SUMPRODUCT(B10:F10,#REF!)/SUM(#REF!)</f>
        <v>#REF!</v>
      </c>
    </row>
    <row r="11" spans="1:12">
      <c r="A11" s="52" t="s">
        <v>71</v>
      </c>
      <c r="B11" s="69">
        <v>1</v>
      </c>
      <c r="C11" s="69">
        <v>4</v>
      </c>
      <c r="D11" s="69">
        <v>4</v>
      </c>
      <c r="E11" s="69">
        <v>1</v>
      </c>
      <c r="F11" s="69">
        <v>1</v>
      </c>
      <c r="G11" s="72">
        <v>1</v>
      </c>
      <c r="H11" s="72">
        <v>1</v>
      </c>
      <c r="I11" s="72">
        <v>0</v>
      </c>
      <c r="J11" s="70">
        <f t="shared" ref="J11:J12" si="1">SUM(B11:I11)</f>
        <v>13</v>
      </c>
      <c r="L11" s="71" t="e">
        <f>SUMPRODUCT(B11:F11,#REF!)/SUM(#REF!)</f>
        <v>#REF!</v>
      </c>
    </row>
    <row r="12" spans="1:12">
      <c r="A12" s="52" t="s">
        <v>72</v>
      </c>
      <c r="B12" s="69">
        <v>5</v>
      </c>
      <c r="C12" s="69">
        <v>1</v>
      </c>
      <c r="D12" s="69">
        <v>1</v>
      </c>
      <c r="E12" s="69">
        <v>1</v>
      </c>
      <c r="F12" s="69">
        <v>5</v>
      </c>
      <c r="G12" s="72">
        <v>1</v>
      </c>
      <c r="H12" s="72">
        <v>1</v>
      </c>
      <c r="I12" s="72">
        <v>1</v>
      </c>
      <c r="J12" s="70">
        <f t="shared" si="1"/>
        <v>16</v>
      </c>
      <c r="L12" s="71" t="e">
        <f>SUMPRODUCT(B12:F12,#REF!)/SUM(#REF!)</f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3A3A4-DB29-441F-91D6-E725D17F3E23}">
  <dimension ref="A1:H11"/>
  <sheetViews>
    <sheetView workbookViewId="0">
      <selection activeCell="I17" sqref="I17"/>
    </sheetView>
  </sheetViews>
  <sheetFormatPr defaultRowHeight="14.4"/>
  <cols>
    <col min="8" max="8" width="39.6640625" bestFit="1" customWidth="1"/>
  </cols>
  <sheetData>
    <row r="1" spans="1:8" ht="41.4">
      <c r="A1" s="42" t="s">
        <v>52</v>
      </c>
      <c r="B1" s="15" t="s">
        <v>3</v>
      </c>
      <c r="C1" s="15" t="s">
        <v>4</v>
      </c>
      <c r="D1" s="15" t="s">
        <v>5</v>
      </c>
      <c r="E1" s="15" t="s">
        <v>6</v>
      </c>
      <c r="F1" s="15" t="s">
        <v>7</v>
      </c>
      <c r="G1" s="17" t="s">
        <v>10</v>
      </c>
      <c r="H1" s="15" t="s">
        <v>53</v>
      </c>
    </row>
    <row r="2" spans="1:8">
      <c r="A2" s="43">
        <v>1</v>
      </c>
      <c r="B2" s="2">
        <v>0.3</v>
      </c>
      <c r="C2" s="2">
        <v>0.2</v>
      </c>
      <c r="D2" s="2">
        <v>0.4</v>
      </c>
      <c r="E2" s="2">
        <v>0.1</v>
      </c>
      <c r="F2" s="2">
        <v>0.1</v>
      </c>
      <c r="G2" s="6">
        <v>0.2</v>
      </c>
      <c r="H2" s="1" t="str">
        <f>B2&amp;"x1+ "&amp;C2&amp;"x2+ "&amp;D2&amp;"x3+ "&amp;E2&amp;"x4+ "&amp;F2&amp;"x5+ -"&amp;G2&amp;"x6"</f>
        <v>0,3x1+ 0,2x2+ 0,4x3+ 0,1x4+ 0,1x5+ -0,2x6</v>
      </c>
    </row>
    <row r="3" spans="1:8">
      <c r="A3" s="43">
        <v>2</v>
      </c>
      <c r="B3" s="2">
        <v>0.25</v>
      </c>
      <c r="C3" s="2">
        <v>0.15</v>
      </c>
      <c r="D3" s="2">
        <v>0.1</v>
      </c>
      <c r="E3" s="2">
        <v>0.1</v>
      </c>
      <c r="F3" s="2">
        <v>0.1</v>
      </c>
      <c r="G3" s="6">
        <v>0.3</v>
      </c>
      <c r="H3" s="1" t="str">
        <f t="shared" ref="H3:H11" si="0">B3&amp;"x1+ "&amp;C3&amp;"x2+ "&amp;D3&amp;"x3+ "&amp;E3&amp;"x4+ "&amp;F3&amp;"x5+ -"&amp;G3&amp;"x6"</f>
        <v>0,25x1+ 0,15x2+ 0,1x3+ 0,1x4+ 0,1x5+ -0,3x6</v>
      </c>
    </row>
    <row r="4" spans="1:8">
      <c r="A4" s="43">
        <v>3</v>
      </c>
      <c r="B4" s="2">
        <v>0.15</v>
      </c>
      <c r="C4" s="2">
        <v>0.3</v>
      </c>
      <c r="D4" s="2">
        <v>0.1</v>
      </c>
      <c r="E4" s="2">
        <v>0.1</v>
      </c>
      <c r="F4" s="2">
        <v>0.15</v>
      </c>
      <c r="G4" s="6">
        <v>0.2</v>
      </c>
      <c r="H4" s="1" t="str">
        <f t="shared" si="0"/>
        <v>0,15x1+ 0,3x2+ 0,1x3+ 0,1x4+ 0,15x5+ -0,2x6</v>
      </c>
    </row>
    <row r="5" spans="1:8">
      <c r="A5" s="43">
        <v>4</v>
      </c>
      <c r="B5" s="2">
        <v>0.1</v>
      </c>
      <c r="C5" s="2">
        <v>0.1</v>
      </c>
      <c r="D5" s="2">
        <v>0.4</v>
      </c>
      <c r="E5" s="2">
        <v>0.15</v>
      </c>
      <c r="F5" s="2">
        <v>0.1</v>
      </c>
      <c r="G5" s="6">
        <v>0.15</v>
      </c>
      <c r="H5" s="1" t="str">
        <f t="shared" si="0"/>
        <v>0,1x1+ 0,1x2+ 0,4x3+ 0,15x4+ 0,1x5+ -0,15x6</v>
      </c>
    </row>
    <row r="6" spans="1:8">
      <c r="A6" s="43">
        <v>5</v>
      </c>
      <c r="B6" s="2">
        <v>0.05</v>
      </c>
      <c r="C6" s="2">
        <v>0.05</v>
      </c>
      <c r="D6" s="2">
        <v>0.5</v>
      </c>
      <c r="E6" s="2">
        <v>0.15</v>
      </c>
      <c r="F6" s="2">
        <v>0.1</v>
      </c>
      <c r="G6" s="6">
        <v>0.15</v>
      </c>
      <c r="H6" s="1" t="str">
        <f t="shared" si="0"/>
        <v>0,05x1+ 0,05x2+ 0,5x3+ 0,15x4+ 0,1x5+ -0,15x6</v>
      </c>
    </row>
    <row r="7" spans="1:8">
      <c r="A7" s="43">
        <v>6</v>
      </c>
      <c r="B7" s="2">
        <v>0.05</v>
      </c>
      <c r="C7" s="2">
        <v>0.1</v>
      </c>
      <c r="D7" s="2">
        <v>0.35</v>
      </c>
      <c r="E7" s="2">
        <v>0.15</v>
      </c>
      <c r="F7" s="2">
        <v>0.1</v>
      </c>
      <c r="G7" s="6">
        <v>0.25</v>
      </c>
      <c r="H7" s="1" t="str">
        <f t="shared" si="0"/>
        <v>0,05x1+ 0,1x2+ 0,35x3+ 0,15x4+ 0,1x5+ -0,25x6</v>
      </c>
    </row>
    <row r="8" spans="1:8">
      <c r="A8" s="43">
        <v>7</v>
      </c>
      <c r="B8" s="2">
        <v>0.1</v>
      </c>
      <c r="C8" s="2">
        <v>0.1</v>
      </c>
      <c r="D8" s="2">
        <v>0.15</v>
      </c>
      <c r="E8" s="2">
        <v>0.35</v>
      </c>
      <c r="F8" s="2">
        <v>0.2</v>
      </c>
      <c r="G8" s="6">
        <v>0.1</v>
      </c>
      <c r="H8" s="1" t="str">
        <f t="shared" si="0"/>
        <v>0,1x1+ 0,1x2+ 0,15x3+ 0,35x4+ 0,2x5+ -0,1x6</v>
      </c>
    </row>
    <row r="9" spans="1:8">
      <c r="A9" s="41">
        <v>8</v>
      </c>
      <c r="B9" s="2">
        <v>0.1</v>
      </c>
      <c r="C9" s="2">
        <v>0.1</v>
      </c>
      <c r="D9" s="2">
        <v>0.65</v>
      </c>
      <c r="E9" s="2">
        <v>0.25</v>
      </c>
      <c r="F9" s="2">
        <v>0.3</v>
      </c>
      <c r="G9" s="6">
        <v>0.1</v>
      </c>
      <c r="H9" s="1" t="str">
        <f t="shared" si="0"/>
        <v>0,1x1+ 0,1x2+ 0,65x3+ 0,25x4+ 0,3x5+ -0,1x6</v>
      </c>
    </row>
    <row r="10" spans="1:8">
      <c r="A10" s="41">
        <v>9</v>
      </c>
      <c r="B10" s="2">
        <v>0.2</v>
      </c>
      <c r="C10" s="2">
        <v>0.15</v>
      </c>
      <c r="D10" s="2">
        <v>0.2</v>
      </c>
      <c r="E10" s="2">
        <v>0.15</v>
      </c>
      <c r="F10" s="2">
        <v>0.1</v>
      </c>
      <c r="G10" s="6">
        <v>0.2</v>
      </c>
      <c r="H10" s="1" t="str">
        <f t="shared" si="0"/>
        <v>0,2x1+ 0,15x2+ 0,2x3+ 0,15x4+ 0,1x5+ -0,2x6</v>
      </c>
    </row>
    <row r="11" spans="1:8">
      <c r="A11" s="41">
        <v>10</v>
      </c>
      <c r="B11" s="2">
        <v>0.15</v>
      </c>
      <c r="C11" s="2">
        <v>0.15</v>
      </c>
      <c r="D11" s="2">
        <v>0.15</v>
      </c>
      <c r="E11" s="2">
        <v>0.15</v>
      </c>
      <c r="F11" s="2">
        <v>0.1</v>
      </c>
      <c r="G11" s="6">
        <v>0.3</v>
      </c>
      <c r="H11" s="1" t="str">
        <f t="shared" si="0"/>
        <v>0,15x1+ 0,15x2+ 0,15x3+ 0,15x4+ 0,1x5+ -0,3x6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37A9F-1BD5-4B34-BB38-A470C3B347D5}">
  <dimension ref="A1:AA57"/>
  <sheetViews>
    <sheetView showGridLines="0" zoomScale="55" zoomScaleNormal="55" workbookViewId="0">
      <selection activeCell="C4" sqref="C4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43" bestFit="1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  <col min="18" max="18" width="11.77734375" bestFit="1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>C4*S$13</f>
        <v>2</v>
      </c>
      <c r="T18" s="2">
        <f t="shared" ref="T18:W18" si="3">D4*T$13</f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>X$13*J4</f>
        <v>0</v>
      </c>
      <c r="Y18" s="1">
        <f t="shared" ref="Y18:Y24" si="4">SUM(S18:W18)</f>
        <v>14</v>
      </c>
      <c r="Z18" s="26">
        <f t="shared" ref="Z18:Z24" si="5">SUMPRODUCT($C$1:$E$1,S18:U18)/SUM($C$1:$E$1)</f>
        <v>2.3333333333333335</v>
      </c>
      <c r="AA18" s="26">
        <f t="shared" ref="AA18:AA24" si="6">SUMPRODUCT(S18:W18,$C$2:$G$2)/SUM($C$2:$G$2)</f>
        <v>3</v>
      </c>
    </row>
    <row r="19" spans="1:27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ref="S19:S24" si="7">C5*S$13</f>
        <v>3</v>
      </c>
      <c r="T19" s="2">
        <f t="shared" ref="T19:T24" si="8">D5*T$13</f>
        <v>5</v>
      </c>
      <c r="U19" s="2">
        <f t="shared" ref="U19:U24" si="9">E5*U$13</f>
        <v>2</v>
      </c>
      <c r="V19" s="2">
        <f t="shared" ref="V19:V24" si="10">F5*V$13</f>
        <v>3</v>
      </c>
      <c r="W19" s="2">
        <f t="shared" ref="W19:W24" si="11">G5*W$13</f>
        <v>3</v>
      </c>
      <c r="X19" s="6">
        <f t="shared" ref="X19:X24" si="12">X$13*J5</f>
        <v>1</v>
      </c>
      <c r="Y19" s="1">
        <f t="shared" si="4"/>
        <v>16</v>
      </c>
      <c r="Z19" s="26">
        <f t="shared" si="5"/>
        <v>3.3333333333333335</v>
      </c>
      <c r="AA19" s="26">
        <f t="shared" si="6"/>
        <v>3.1428571428571428</v>
      </c>
    </row>
    <row r="20" spans="1:27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7"/>
        <v>2</v>
      </c>
      <c r="T20" s="2">
        <f t="shared" si="8"/>
        <v>1</v>
      </c>
      <c r="U20" s="2">
        <f t="shared" si="9"/>
        <v>3</v>
      </c>
      <c r="V20" s="2">
        <f t="shared" si="10"/>
        <v>2</v>
      </c>
      <c r="W20" s="2">
        <f t="shared" si="11"/>
        <v>3</v>
      </c>
      <c r="X20" s="6">
        <f t="shared" si="12"/>
        <v>0</v>
      </c>
      <c r="Y20" s="1">
        <f t="shared" si="4"/>
        <v>11</v>
      </c>
      <c r="Z20" s="26">
        <f t="shared" si="5"/>
        <v>2</v>
      </c>
      <c r="AA20" s="26">
        <f t="shared" si="6"/>
        <v>2.2857142857142856</v>
      </c>
    </row>
    <row r="21" spans="1:27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7"/>
        <v>2</v>
      </c>
      <c r="T21" s="2">
        <f t="shared" si="8"/>
        <v>2</v>
      </c>
      <c r="U21" s="2">
        <f t="shared" si="9"/>
        <v>5</v>
      </c>
      <c r="V21" s="2">
        <f t="shared" si="10"/>
        <v>2</v>
      </c>
      <c r="W21" s="2">
        <f t="shared" si="11"/>
        <v>2</v>
      </c>
      <c r="X21" s="6">
        <f t="shared" si="12"/>
        <v>0</v>
      </c>
      <c r="Y21" s="1">
        <f t="shared" si="4"/>
        <v>13</v>
      </c>
      <c r="Z21" s="26">
        <f t="shared" si="5"/>
        <v>3</v>
      </c>
      <c r="AA21" s="26">
        <f t="shared" si="6"/>
        <v>2.4285714285714284</v>
      </c>
    </row>
    <row r="22" spans="1:27">
      <c r="R22" s="10" t="s">
        <v>18</v>
      </c>
      <c r="S22" s="2">
        <f t="shared" si="7"/>
        <v>3</v>
      </c>
      <c r="T22" s="2">
        <f t="shared" si="8"/>
        <v>4</v>
      </c>
      <c r="U22" s="2">
        <f t="shared" si="9"/>
        <v>3</v>
      </c>
      <c r="V22" s="2">
        <f t="shared" si="10"/>
        <v>2</v>
      </c>
      <c r="W22" s="2">
        <f t="shared" si="11"/>
        <v>5</v>
      </c>
      <c r="X22" s="6">
        <f t="shared" si="12"/>
        <v>1</v>
      </c>
      <c r="Y22" s="1">
        <f t="shared" si="4"/>
        <v>17</v>
      </c>
      <c r="Z22" s="26">
        <f t="shared" si="5"/>
        <v>3.3333333333333335</v>
      </c>
      <c r="AA22" s="26">
        <f t="shared" si="6"/>
        <v>3.4285714285714284</v>
      </c>
    </row>
    <row r="23" spans="1:27">
      <c r="R23" s="10" t="s">
        <v>19</v>
      </c>
      <c r="S23" s="2">
        <f t="shared" si="7"/>
        <v>5</v>
      </c>
      <c r="T23" s="2">
        <f t="shared" si="8"/>
        <v>4</v>
      </c>
      <c r="U23" s="2">
        <f t="shared" si="9"/>
        <v>2</v>
      </c>
      <c r="V23" s="2">
        <f t="shared" si="10"/>
        <v>4</v>
      </c>
      <c r="W23" s="2">
        <f t="shared" si="11"/>
        <v>4</v>
      </c>
      <c r="X23" s="6">
        <f t="shared" si="12"/>
        <v>0</v>
      </c>
      <c r="Y23" s="1">
        <f t="shared" si="4"/>
        <v>19</v>
      </c>
      <c r="Z23" s="26">
        <f t="shared" si="5"/>
        <v>3.6666666666666665</v>
      </c>
      <c r="AA23" s="26">
        <f t="shared" si="6"/>
        <v>3.8571428571428572</v>
      </c>
    </row>
    <row r="24" spans="1:27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  <c r="R24" s="10" t="s">
        <v>20</v>
      </c>
      <c r="S24" s="2">
        <f t="shared" si="7"/>
        <v>2</v>
      </c>
      <c r="T24" s="2">
        <f t="shared" si="8"/>
        <v>1</v>
      </c>
      <c r="U24" s="2">
        <f t="shared" si="9"/>
        <v>3</v>
      </c>
      <c r="V24" s="2">
        <f t="shared" si="10"/>
        <v>3</v>
      </c>
      <c r="W24" s="2">
        <f t="shared" si="11"/>
        <v>3</v>
      </c>
      <c r="X24" s="6">
        <f t="shared" si="12"/>
        <v>0</v>
      </c>
      <c r="Y24" s="1">
        <f t="shared" si="4"/>
        <v>12</v>
      </c>
      <c r="Z24" s="26">
        <f t="shared" si="5"/>
        <v>2</v>
      </c>
      <c r="AA24" s="26">
        <f t="shared" si="6"/>
        <v>2.5714285714285716</v>
      </c>
    </row>
    <row r="25" spans="1:27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27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13">C26&amp;"x1+ "&amp;D26&amp;"x2+ "&amp;E26&amp;"x3+ "&amp;F26&amp;"x4+ "&amp;G26&amp;"x5+ -"&amp;H26&amp;"x6"</f>
        <v>0,25x1+ 0,15x2+ 0,1x3+ 0,1x4+ 0,1x5+ -0,3x6</v>
      </c>
    </row>
    <row r="27" spans="1:27" ht="41.4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13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56</v>
      </c>
    </row>
    <row r="28" spans="1:27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13"/>
        <v>0,1x1+ 0,1x2+ 0,4x3+ 0,15x4+ 0,1x5+ -0,15x6</v>
      </c>
      <c r="R28" s="10" t="s">
        <v>14</v>
      </c>
      <c r="S28" s="2">
        <f>S18</f>
        <v>2</v>
      </c>
      <c r="T28" s="2">
        <f t="shared" ref="T28:X28" si="14">T18</f>
        <v>4</v>
      </c>
      <c r="U28" s="2">
        <f t="shared" si="14"/>
        <v>1</v>
      </c>
      <c r="V28" s="2">
        <f t="shared" si="14"/>
        <v>3</v>
      </c>
      <c r="W28" s="2">
        <f t="shared" si="14"/>
        <v>4</v>
      </c>
      <c r="X28" s="2">
        <f t="shared" si="14"/>
        <v>0</v>
      </c>
      <c r="Y28" s="1">
        <f t="shared" ref="Y28:Y34" si="15">SUM(S28:W28)</f>
        <v>14</v>
      </c>
    </row>
    <row r="29" spans="1:27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13"/>
        <v>0,05x1+ 0,05x2+ 0,5x3+ 0,15x4+ 0,1x5+ -0,15x6</v>
      </c>
      <c r="R29" s="10" t="s">
        <v>15</v>
      </c>
      <c r="S29" s="2">
        <f t="shared" ref="S29:X29" si="16">S19</f>
        <v>3</v>
      </c>
      <c r="T29" s="2">
        <f t="shared" si="16"/>
        <v>5</v>
      </c>
      <c r="U29" s="2">
        <f t="shared" si="16"/>
        <v>2</v>
      </c>
      <c r="V29" s="2">
        <f t="shared" si="16"/>
        <v>3</v>
      </c>
      <c r="W29" s="2">
        <f t="shared" si="16"/>
        <v>3</v>
      </c>
      <c r="X29" s="2">
        <f t="shared" si="16"/>
        <v>1</v>
      </c>
      <c r="Y29" s="1">
        <f t="shared" si="15"/>
        <v>16</v>
      </c>
    </row>
    <row r="30" spans="1:27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13"/>
        <v>0,05x1+ 0,1x2+ 0,35x3+ 0,15x4+ 0,1x5+ -0,25x6</v>
      </c>
      <c r="R30" s="10" t="s">
        <v>16</v>
      </c>
      <c r="S30" s="2">
        <f t="shared" ref="S30:X30" si="17">S20</f>
        <v>2</v>
      </c>
      <c r="T30" s="2">
        <f t="shared" si="17"/>
        <v>1</v>
      </c>
      <c r="U30" s="2">
        <f t="shared" si="17"/>
        <v>3</v>
      </c>
      <c r="V30" s="2">
        <f t="shared" si="17"/>
        <v>2</v>
      </c>
      <c r="W30" s="2">
        <f t="shared" si="17"/>
        <v>3</v>
      </c>
      <c r="X30" s="2">
        <f t="shared" si="17"/>
        <v>0</v>
      </c>
      <c r="Y30" s="1">
        <f t="shared" si="15"/>
        <v>11</v>
      </c>
    </row>
    <row r="31" spans="1:27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13"/>
        <v>0,1x1+ 0,1x2+ 0,15x3+ 0,35x4+ 0,2x5+ -0,1x6</v>
      </c>
      <c r="R31" s="10" t="s">
        <v>17</v>
      </c>
      <c r="S31" s="2">
        <f t="shared" ref="S31:X31" si="18">S21</f>
        <v>2</v>
      </c>
      <c r="T31" s="2">
        <f t="shared" si="18"/>
        <v>2</v>
      </c>
      <c r="U31" s="2">
        <f t="shared" si="18"/>
        <v>5</v>
      </c>
      <c r="V31" s="2">
        <f t="shared" si="18"/>
        <v>2</v>
      </c>
      <c r="W31" s="2">
        <f t="shared" si="18"/>
        <v>2</v>
      </c>
      <c r="X31" s="2">
        <f t="shared" si="18"/>
        <v>0</v>
      </c>
      <c r="Y31" s="1">
        <f t="shared" si="15"/>
        <v>13</v>
      </c>
    </row>
    <row r="32" spans="1:27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13"/>
        <v>0,1x1+ 0,1x2+ 0,65x3+ 0,25x4+ 0,3x5+ -0,1x6</v>
      </c>
      <c r="R32" s="10" t="s">
        <v>18</v>
      </c>
      <c r="S32" s="2">
        <f t="shared" ref="S32:X32" si="19">S22</f>
        <v>3</v>
      </c>
      <c r="T32" s="2">
        <f t="shared" si="19"/>
        <v>4</v>
      </c>
      <c r="U32" s="2">
        <f t="shared" si="19"/>
        <v>3</v>
      </c>
      <c r="V32" s="2">
        <f t="shared" si="19"/>
        <v>2</v>
      </c>
      <c r="W32" s="2">
        <f t="shared" si="19"/>
        <v>5</v>
      </c>
      <c r="X32" s="2">
        <f t="shared" si="19"/>
        <v>1</v>
      </c>
      <c r="Y32" s="1">
        <f t="shared" si="15"/>
        <v>17</v>
      </c>
    </row>
    <row r="33" spans="2:25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13"/>
        <v>0,2x1+ 0,15x2+ 0,2x3+ 0,15x4+ 0,1x5+ -0,2x6</v>
      </c>
      <c r="R33" s="10" t="s">
        <v>19</v>
      </c>
      <c r="S33" s="2">
        <f t="shared" ref="S33:X33" si="20">S23</f>
        <v>5</v>
      </c>
      <c r="T33" s="2">
        <f t="shared" si="20"/>
        <v>4</v>
      </c>
      <c r="U33" s="2">
        <f t="shared" si="20"/>
        <v>2</v>
      </c>
      <c r="V33" s="2">
        <f t="shared" si="20"/>
        <v>4</v>
      </c>
      <c r="W33" s="2">
        <f t="shared" si="20"/>
        <v>4</v>
      </c>
      <c r="X33" s="2">
        <f t="shared" si="20"/>
        <v>0</v>
      </c>
      <c r="Y33" s="1">
        <f t="shared" si="15"/>
        <v>19</v>
      </c>
    </row>
    <row r="34" spans="2:25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13"/>
        <v>0,15x1+ 0,15x2+ 0,15x3+ 0,15x4+ 0,1x5+ -0,3x6</v>
      </c>
      <c r="R34" s="10" t="s">
        <v>20</v>
      </c>
      <c r="S34" s="2">
        <f t="shared" ref="S34:X34" si="21">S24</f>
        <v>2</v>
      </c>
      <c r="T34" s="2">
        <f t="shared" si="21"/>
        <v>1</v>
      </c>
      <c r="U34" s="2">
        <f t="shared" si="21"/>
        <v>3</v>
      </c>
      <c r="V34" s="2">
        <f t="shared" si="21"/>
        <v>3</v>
      </c>
      <c r="W34" s="2">
        <f t="shared" si="21"/>
        <v>3</v>
      </c>
      <c r="X34" s="2">
        <f t="shared" si="21"/>
        <v>0</v>
      </c>
      <c r="Y34" s="1">
        <f t="shared" si="15"/>
        <v>12</v>
      </c>
    </row>
    <row r="36" spans="2:25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64</v>
      </c>
      <c r="R36" s="45" t="s">
        <v>57</v>
      </c>
    </row>
    <row r="37" spans="2:25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22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si="22"/>
        <v>1.85</v>
      </c>
      <c r="G37">
        <f t="shared" si="22"/>
        <v>1.65</v>
      </c>
      <c r="H37">
        <f t="shared" si="22"/>
        <v>1.6999999999999997</v>
      </c>
      <c r="I37">
        <f t="shared" si="22"/>
        <v>2.5999999999999996</v>
      </c>
      <c r="J37">
        <f t="shared" si="22"/>
        <v>3.2</v>
      </c>
      <c r="K37">
        <f t="shared" si="22"/>
        <v>2.0499999999999998</v>
      </c>
      <c r="L37">
        <f t="shared" si="22"/>
        <v>1.9</v>
      </c>
      <c r="M37">
        <f>SUM(C37:L37)</f>
        <v>21.849999999999998</v>
      </c>
    </row>
    <row r="38" spans="2:25">
      <c r="B38" s="10" t="s">
        <v>15</v>
      </c>
      <c r="C38">
        <f t="shared" ref="C38:C43" si="23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22"/>
        <v>1.9999999999999998</v>
      </c>
      <c r="E38">
        <f t="shared" si="22"/>
        <v>2.7</v>
      </c>
      <c r="F38">
        <f t="shared" si="22"/>
        <v>2.1999999999999997</v>
      </c>
      <c r="G38">
        <f t="shared" si="22"/>
        <v>2</v>
      </c>
      <c r="H38">
        <f t="shared" si="22"/>
        <v>1.85</v>
      </c>
      <c r="I38">
        <f t="shared" si="22"/>
        <v>2.65</v>
      </c>
      <c r="J38">
        <f t="shared" si="22"/>
        <v>3.65</v>
      </c>
      <c r="K38">
        <f t="shared" si="22"/>
        <v>2.2999999999999998</v>
      </c>
      <c r="L38">
        <f t="shared" si="22"/>
        <v>1.95</v>
      </c>
      <c r="M38">
        <f t="shared" ref="M38:M43" si="24">SUM(C38:L38)</f>
        <v>24.4</v>
      </c>
    </row>
    <row r="39" spans="2:25">
      <c r="B39" s="10" t="s">
        <v>16</v>
      </c>
      <c r="C39">
        <f t="shared" si="23"/>
        <v>2.5</v>
      </c>
      <c r="D39">
        <f t="shared" si="22"/>
        <v>1.4500000000000002</v>
      </c>
      <c r="E39">
        <f t="shared" si="22"/>
        <v>1.55</v>
      </c>
      <c r="F39">
        <f t="shared" si="22"/>
        <v>2.1000000000000005</v>
      </c>
      <c r="G39">
        <f t="shared" si="22"/>
        <v>2.25</v>
      </c>
      <c r="H39">
        <f t="shared" si="22"/>
        <v>1.8499999999999999</v>
      </c>
      <c r="I39">
        <f t="shared" si="22"/>
        <v>2.0499999999999998</v>
      </c>
      <c r="J39">
        <f t="shared" si="22"/>
        <v>3.65</v>
      </c>
      <c r="K39">
        <f t="shared" si="22"/>
        <v>1.7500000000000002</v>
      </c>
      <c r="L39">
        <f t="shared" si="22"/>
        <v>1.5</v>
      </c>
      <c r="M39">
        <f t="shared" si="24"/>
        <v>20.65</v>
      </c>
    </row>
    <row r="40" spans="2:25">
      <c r="B40" s="10" t="s">
        <v>17</v>
      </c>
      <c r="C40">
        <f t="shared" si="23"/>
        <v>3.4000000000000004</v>
      </c>
      <c r="D40">
        <f t="shared" si="22"/>
        <v>1.7</v>
      </c>
      <c r="E40">
        <f t="shared" si="22"/>
        <v>1.9</v>
      </c>
      <c r="F40">
        <f t="shared" si="22"/>
        <v>2.9</v>
      </c>
      <c r="G40">
        <f t="shared" si="22"/>
        <v>3.2</v>
      </c>
      <c r="H40">
        <f t="shared" si="22"/>
        <v>2.5499999999999998</v>
      </c>
      <c r="I40">
        <f t="shared" si="22"/>
        <v>2.25</v>
      </c>
      <c r="J40">
        <f t="shared" si="22"/>
        <v>4.75</v>
      </c>
      <c r="K40">
        <f t="shared" si="22"/>
        <v>2.2000000000000002</v>
      </c>
      <c r="L40">
        <f t="shared" si="22"/>
        <v>1.85</v>
      </c>
      <c r="M40">
        <f t="shared" si="24"/>
        <v>26.700000000000003</v>
      </c>
    </row>
    <row r="41" spans="2:25">
      <c r="B41" s="10" t="s">
        <v>18</v>
      </c>
      <c r="C41">
        <f t="shared" si="23"/>
        <v>3.4000000000000004</v>
      </c>
      <c r="D41">
        <f t="shared" si="22"/>
        <v>2.0500000000000003</v>
      </c>
      <c r="E41">
        <f t="shared" si="22"/>
        <v>2.6999999999999997</v>
      </c>
      <c r="F41">
        <f t="shared" si="22"/>
        <v>2.5500000000000003</v>
      </c>
      <c r="G41">
        <f t="shared" si="22"/>
        <v>2.5</v>
      </c>
      <c r="H41">
        <f t="shared" si="22"/>
        <v>2.15</v>
      </c>
      <c r="I41">
        <f t="shared" si="22"/>
        <v>2.7499999999999996</v>
      </c>
      <c r="J41">
        <f t="shared" si="22"/>
        <v>4.5500000000000007</v>
      </c>
      <c r="K41">
        <f t="shared" si="22"/>
        <v>2.4</v>
      </c>
      <c r="L41">
        <f t="shared" si="22"/>
        <v>1.9999999999999998</v>
      </c>
      <c r="M41">
        <f t="shared" si="24"/>
        <v>27.05</v>
      </c>
    </row>
    <row r="42" spans="2:25">
      <c r="B42" s="10" t="s">
        <v>19</v>
      </c>
      <c r="C42">
        <f t="shared" si="23"/>
        <v>3.8999999999999995</v>
      </c>
      <c r="D42">
        <f t="shared" si="22"/>
        <v>2.85</v>
      </c>
      <c r="E42">
        <f t="shared" si="22"/>
        <v>3.15</v>
      </c>
      <c r="F42">
        <f t="shared" si="22"/>
        <v>2.7</v>
      </c>
      <c r="G42">
        <f t="shared" si="22"/>
        <v>2.4499999999999997</v>
      </c>
      <c r="H42">
        <f t="shared" si="22"/>
        <v>2.35</v>
      </c>
      <c r="I42">
        <f t="shared" si="22"/>
        <v>3.3999999999999995</v>
      </c>
      <c r="J42">
        <f t="shared" si="22"/>
        <v>4.4000000000000004</v>
      </c>
      <c r="K42">
        <f t="shared" si="22"/>
        <v>3</v>
      </c>
      <c r="L42">
        <f t="shared" si="22"/>
        <v>2.65</v>
      </c>
      <c r="M42">
        <f t="shared" si="24"/>
        <v>30.85</v>
      </c>
    </row>
    <row r="43" spans="2:25">
      <c r="B43" s="10" t="s">
        <v>20</v>
      </c>
      <c r="C43">
        <f t="shared" si="23"/>
        <v>2.5999999999999996</v>
      </c>
      <c r="D43">
        <f t="shared" si="22"/>
        <v>1.55</v>
      </c>
      <c r="E43">
        <f t="shared" si="22"/>
        <v>1.6500000000000001</v>
      </c>
      <c r="F43">
        <f t="shared" si="22"/>
        <v>2.25</v>
      </c>
      <c r="G43">
        <f t="shared" si="22"/>
        <v>2.3999999999999995</v>
      </c>
      <c r="H43">
        <f t="shared" si="22"/>
        <v>1.9999999999999998</v>
      </c>
      <c r="I43">
        <f t="shared" si="22"/>
        <v>2.4</v>
      </c>
      <c r="J43">
        <f t="shared" si="22"/>
        <v>3.9</v>
      </c>
      <c r="K43">
        <f t="shared" si="22"/>
        <v>1.9000000000000001</v>
      </c>
      <c r="L43">
        <f t="shared" si="22"/>
        <v>1.65</v>
      </c>
      <c r="M43">
        <f t="shared" si="24"/>
        <v>22.299999999999997</v>
      </c>
    </row>
    <row r="44" spans="2:25">
      <c r="B44" s="52" t="s">
        <v>64</v>
      </c>
      <c r="C44">
        <f>SUM(C37:C43)</f>
        <v>21.4</v>
      </c>
      <c r="D44">
        <f t="shared" ref="D44:M44" si="25">SUM(D37:D43)</f>
        <v>13.500000000000002</v>
      </c>
      <c r="E44">
        <f t="shared" si="25"/>
        <v>16.149999999999999</v>
      </c>
      <c r="F44">
        <f t="shared" si="25"/>
        <v>16.55</v>
      </c>
      <c r="G44">
        <f t="shared" si="25"/>
        <v>16.45</v>
      </c>
      <c r="H44">
        <f t="shared" si="25"/>
        <v>14.45</v>
      </c>
      <c r="I44">
        <f t="shared" si="25"/>
        <v>18.099999999999998</v>
      </c>
      <c r="J44">
        <f t="shared" si="25"/>
        <v>28.1</v>
      </c>
      <c r="K44">
        <f t="shared" si="25"/>
        <v>15.600000000000001</v>
      </c>
      <c r="L44">
        <f t="shared" si="25"/>
        <v>13.5</v>
      </c>
      <c r="M44">
        <f t="shared" si="25"/>
        <v>173.8</v>
      </c>
    </row>
    <row r="45" spans="2:25">
      <c r="B45"/>
    </row>
    <row r="46" spans="2:25">
      <c r="B46" s="41" t="s">
        <v>65</v>
      </c>
      <c r="E46" s="41" t="s">
        <v>68</v>
      </c>
    </row>
    <row r="47" spans="2:25">
      <c r="B47" t="str">
        <f>_xlfn.XLOOKUP(C47,M37:M43,B37:B43)</f>
        <v>F</v>
      </c>
      <c r="C47">
        <f>MAX(M37:M43)</f>
        <v>30.85</v>
      </c>
      <c r="E47">
        <v>100</v>
      </c>
    </row>
    <row r="48" spans="2:25">
      <c r="B48" s="41" t="s">
        <v>66</v>
      </c>
    </row>
    <row r="49" spans="2:3">
      <c r="B49" t="str">
        <f>_xlfn.XLOOKUP(C49,E4:E10,B4:B10)</f>
        <v>A</v>
      </c>
      <c r="C49">
        <f>MIN(E4:E10)</f>
        <v>1</v>
      </c>
    </row>
    <row r="50" spans="2:3">
      <c r="B50" s="41" t="s">
        <v>67</v>
      </c>
    </row>
    <row r="51" spans="2:3">
      <c r="B51"/>
      <c r="C51">
        <f>C49*(SUM(E25:E34))</f>
        <v>3</v>
      </c>
    </row>
    <row r="52" spans="2:3">
      <c r="B52"/>
    </row>
    <row r="53" spans="2:3">
      <c r="B53"/>
    </row>
    <row r="54" spans="2:3">
      <c r="B54" s="41" t="s">
        <v>60</v>
      </c>
    </row>
    <row r="55" spans="2:3">
      <c r="B55" s="41" t="s">
        <v>63</v>
      </c>
      <c r="C55">
        <f>C49</f>
        <v>1</v>
      </c>
    </row>
    <row r="56" spans="2:3">
      <c r="B56" s="41" t="s">
        <v>61</v>
      </c>
      <c r="C56">
        <v>6</v>
      </c>
    </row>
    <row r="57" spans="2:3">
      <c r="B57" s="41" t="s">
        <v>62</v>
      </c>
      <c r="C57">
        <v>0</v>
      </c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4241E-080E-47E4-95A9-F41CE75AFC52}">
  <dimension ref="A1:AA47"/>
  <sheetViews>
    <sheetView showGridLines="0" topLeftCell="B6" zoomScale="70" zoomScaleNormal="70" workbookViewId="0">
      <selection activeCell="Z3" sqref="Z3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  <col min="18" max="18" width="11.77734375" bestFit="1" customWidth="1"/>
  </cols>
  <sheetData>
    <row r="1" spans="2:26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6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  <c r="Y12" s="51" t="s">
        <v>58</v>
      </c>
      <c r="Z12" s="51" t="s">
        <v>59</v>
      </c>
    </row>
    <row r="13" spans="2:26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6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6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>C4*S$13</f>
        <v>2</v>
      </c>
      <c r="T18" s="2">
        <f t="shared" ref="T18:W24" si="3">D4*T$13</f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>X$13*J4</f>
        <v>0</v>
      </c>
      <c r="Y18" s="1">
        <f t="shared" ref="Y18:Y24" si="4">SUM(S18:W18)</f>
        <v>14</v>
      </c>
      <c r="Z18" s="26">
        <f t="shared" ref="Z18:Z24" si="5">SUMPRODUCT($C$1:$E$1,S18:U18)/SUM($C$1:$E$1)</f>
        <v>2.3333333333333335</v>
      </c>
      <c r="AA18" s="26">
        <f t="shared" ref="AA18:AA24" si="6">SUMPRODUCT(S18:W18,$C$2:$G$2)/SUM($C$2:$G$2)</f>
        <v>3</v>
      </c>
    </row>
    <row r="19" spans="1:27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ref="S19:S24" si="7">C5*S$13</f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ref="X19:X24" si="8">X$13*J5</f>
        <v>1</v>
      </c>
      <c r="Y19" s="1">
        <f t="shared" si="4"/>
        <v>16</v>
      </c>
      <c r="Z19" s="26">
        <f t="shared" si="5"/>
        <v>3.3333333333333335</v>
      </c>
      <c r="AA19" s="26">
        <f t="shared" si="6"/>
        <v>3.1428571428571428</v>
      </c>
    </row>
    <row r="20" spans="1:27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7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8"/>
        <v>0</v>
      </c>
      <c r="Y20" s="1">
        <f t="shared" si="4"/>
        <v>11</v>
      </c>
      <c r="Z20" s="26">
        <f t="shared" si="5"/>
        <v>2</v>
      </c>
      <c r="AA20" s="26">
        <f t="shared" si="6"/>
        <v>2.2857142857142856</v>
      </c>
    </row>
    <row r="21" spans="1:27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7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8"/>
        <v>0</v>
      </c>
      <c r="Y21" s="1">
        <f t="shared" si="4"/>
        <v>13</v>
      </c>
      <c r="Z21" s="26">
        <f t="shared" si="5"/>
        <v>3</v>
      </c>
      <c r="AA21" s="26">
        <f t="shared" si="6"/>
        <v>2.4285714285714284</v>
      </c>
    </row>
    <row r="22" spans="1:27">
      <c r="R22" s="10" t="s">
        <v>18</v>
      </c>
      <c r="S22" s="2">
        <f t="shared" si="7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8"/>
        <v>1</v>
      </c>
      <c r="Y22" s="1">
        <f t="shared" si="4"/>
        <v>17</v>
      </c>
      <c r="Z22" s="26">
        <f t="shared" si="5"/>
        <v>3.3333333333333335</v>
      </c>
      <c r="AA22" s="26">
        <f t="shared" si="6"/>
        <v>3.4285714285714284</v>
      </c>
    </row>
    <row r="23" spans="1:27">
      <c r="R23" s="10" t="s">
        <v>19</v>
      </c>
      <c r="S23" s="2">
        <f t="shared" si="7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8"/>
        <v>0</v>
      </c>
      <c r="Y23" s="1">
        <f t="shared" si="4"/>
        <v>19</v>
      </c>
      <c r="Z23" s="26">
        <f t="shared" si="5"/>
        <v>3.6666666666666665</v>
      </c>
      <c r="AA23" s="26">
        <f t="shared" si="6"/>
        <v>3.8571428571428572</v>
      </c>
    </row>
    <row r="24" spans="1:27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  <c r="R24" s="10" t="s">
        <v>20</v>
      </c>
      <c r="S24" s="2">
        <f t="shared" si="7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8"/>
        <v>0</v>
      </c>
      <c r="Y24" s="1">
        <f t="shared" si="4"/>
        <v>12</v>
      </c>
      <c r="Z24" s="26">
        <f t="shared" si="5"/>
        <v>2</v>
      </c>
      <c r="AA24" s="26">
        <f t="shared" si="6"/>
        <v>2.5714285714285716</v>
      </c>
    </row>
    <row r="25" spans="1:27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27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9">C26&amp;"x1+ "&amp;D26&amp;"x2+ "&amp;E26&amp;"x3+ "&amp;F26&amp;"x4+ "&amp;G26&amp;"x5+ -"&amp;H26&amp;"x6"</f>
        <v>0,25x1+ 0,15x2+ 0,1x3+ 0,1x4+ 0,1x5+ -0,3x6</v>
      </c>
    </row>
    <row r="27" spans="1:27" ht="41.4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9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56</v>
      </c>
    </row>
    <row r="28" spans="1:27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9"/>
        <v>0,1x1+ 0,1x2+ 0,4x3+ 0,15x4+ 0,1x5+ -0,15x6</v>
      </c>
      <c r="R28" s="10" t="s">
        <v>14</v>
      </c>
      <c r="S28" s="2">
        <f>S18</f>
        <v>2</v>
      </c>
      <c r="T28" s="2">
        <f t="shared" ref="T28:X28" si="10">T18</f>
        <v>4</v>
      </c>
      <c r="U28" s="2">
        <f t="shared" si="10"/>
        <v>1</v>
      </c>
      <c r="V28" s="2">
        <f t="shared" si="10"/>
        <v>3</v>
      </c>
      <c r="W28" s="2">
        <f t="shared" si="10"/>
        <v>4</v>
      </c>
      <c r="X28" s="2">
        <f t="shared" si="10"/>
        <v>0</v>
      </c>
      <c r="Y28" s="1">
        <f t="shared" ref="Y28:Y34" si="11">SUM(S28:W28)</f>
        <v>14</v>
      </c>
    </row>
    <row r="29" spans="1:27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9"/>
        <v>0,05x1+ 0,05x2+ 0,5x3+ 0,15x4+ 0,1x5+ -0,15x6</v>
      </c>
      <c r="R29" s="10" t="s">
        <v>15</v>
      </c>
      <c r="S29" s="2">
        <f t="shared" ref="S29:X34" si="12">S19</f>
        <v>3</v>
      </c>
      <c r="T29" s="2">
        <f t="shared" si="12"/>
        <v>5</v>
      </c>
      <c r="U29" s="2">
        <f t="shared" si="12"/>
        <v>2</v>
      </c>
      <c r="V29" s="2">
        <f t="shared" si="12"/>
        <v>3</v>
      </c>
      <c r="W29" s="2">
        <f t="shared" si="12"/>
        <v>3</v>
      </c>
      <c r="X29" s="2">
        <f t="shared" si="12"/>
        <v>1</v>
      </c>
      <c r="Y29" s="1">
        <f t="shared" si="11"/>
        <v>16</v>
      </c>
    </row>
    <row r="30" spans="1:27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9"/>
        <v>0,05x1+ 0,1x2+ 0,35x3+ 0,15x4+ 0,1x5+ -0,25x6</v>
      </c>
      <c r="R30" s="10" t="s">
        <v>16</v>
      </c>
      <c r="S30" s="2">
        <f t="shared" si="12"/>
        <v>2</v>
      </c>
      <c r="T30" s="2">
        <f t="shared" si="12"/>
        <v>1</v>
      </c>
      <c r="U30" s="2">
        <f t="shared" si="12"/>
        <v>3</v>
      </c>
      <c r="V30" s="2">
        <f t="shared" si="12"/>
        <v>2</v>
      </c>
      <c r="W30" s="2">
        <f t="shared" si="12"/>
        <v>3</v>
      </c>
      <c r="X30" s="2">
        <f t="shared" si="12"/>
        <v>0</v>
      </c>
      <c r="Y30" s="1">
        <f t="shared" si="11"/>
        <v>11</v>
      </c>
    </row>
    <row r="31" spans="1:27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9"/>
        <v>0,1x1+ 0,1x2+ 0,15x3+ 0,35x4+ 0,2x5+ -0,1x6</v>
      </c>
      <c r="R31" s="10" t="s">
        <v>17</v>
      </c>
      <c r="S31" s="2">
        <f t="shared" si="12"/>
        <v>2</v>
      </c>
      <c r="T31" s="2">
        <f t="shared" si="12"/>
        <v>2</v>
      </c>
      <c r="U31" s="2">
        <f t="shared" si="12"/>
        <v>5</v>
      </c>
      <c r="V31" s="2">
        <f t="shared" si="12"/>
        <v>2</v>
      </c>
      <c r="W31" s="2">
        <f t="shared" si="12"/>
        <v>2</v>
      </c>
      <c r="X31" s="2">
        <f t="shared" si="12"/>
        <v>0</v>
      </c>
      <c r="Y31" s="1">
        <f t="shared" si="11"/>
        <v>13</v>
      </c>
    </row>
    <row r="32" spans="1:27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9"/>
        <v>0,1x1+ 0,1x2+ 0,65x3+ 0,25x4+ 0,3x5+ -0,1x6</v>
      </c>
      <c r="R32" s="10" t="s">
        <v>18</v>
      </c>
      <c r="S32" s="2">
        <f t="shared" si="12"/>
        <v>3</v>
      </c>
      <c r="T32" s="2">
        <f t="shared" si="12"/>
        <v>4</v>
      </c>
      <c r="U32" s="2">
        <f t="shared" si="12"/>
        <v>3</v>
      </c>
      <c r="V32" s="2">
        <f t="shared" si="12"/>
        <v>2</v>
      </c>
      <c r="W32" s="2">
        <f t="shared" si="12"/>
        <v>5</v>
      </c>
      <c r="X32" s="2">
        <f t="shared" si="12"/>
        <v>1</v>
      </c>
      <c r="Y32" s="1">
        <f t="shared" si="11"/>
        <v>17</v>
      </c>
    </row>
    <row r="33" spans="2:25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9"/>
        <v>0,2x1+ 0,15x2+ 0,2x3+ 0,15x4+ 0,1x5+ -0,2x6</v>
      </c>
      <c r="R33" s="10" t="s">
        <v>19</v>
      </c>
      <c r="S33" s="2">
        <f t="shared" si="12"/>
        <v>5</v>
      </c>
      <c r="T33" s="2">
        <f t="shared" si="12"/>
        <v>4</v>
      </c>
      <c r="U33" s="2">
        <f t="shared" si="12"/>
        <v>2</v>
      </c>
      <c r="V33" s="2">
        <f t="shared" si="12"/>
        <v>4</v>
      </c>
      <c r="W33" s="2">
        <f t="shared" si="12"/>
        <v>4</v>
      </c>
      <c r="X33" s="2">
        <f t="shared" si="12"/>
        <v>0</v>
      </c>
      <c r="Y33" s="1">
        <f t="shared" si="11"/>
        <v>19</v>
      </c>
    </row>
    <row r="34" spans="2:25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9"/>
        <v>0,15x1+ 0,15x2+ 0,15x3+ 0,15x4+ 0,1x5+ -0,3x6</v>
      </c>
      <c r="R34" s="10" t="s">
        <v>20</v>
      </c>
      <c r="S34" s="2">
        <f t="shared" si="12"/>
        <v>2</v>
      </c>
      <c r="T34" s="2">
        <f t="shared" si="12"/>
        <v>1</v>
      </c>
      <c r="U34" s="2">
        <f t="shared" si="12"/>
        <v>3</v>
      </c>
      <c r="V34" s="2">
        <f t="shared" si="12"/>
        <v>3</v>
      </c>
      <c r="W34" s="2">
        <f t="shared" si="12"/>
        <v>3</v>
      </c>
      <c r="X34" s="2">
        <f t="shared" si="12"/>
        <v>0</v>
      </c>
      <c r="Y34" s="1">
        <f t="shared" si="11"/>
        <v>12</v>
      </c>
    </row>
    <row r="36" spans="2:25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57</v>
      </c>
    </row>
    <row r="37" spans="2:25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13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13"/>
        <v>2.5</v>
      </c>
      <c r="F37">
        <f t="shared" si="13"/>
        <v>1.85</v>
      </c>
      <c r="G37">
        <f t="shared" si="13"/>
        <v>1.65</v>
      </c>
      <c r="H37">
        <f t="shared" si="13"/>
        <v>1.6999999999999997</v>
      </c>
      <c r="I37">
        <f t="shared" si="13"/>
        <v>2.5999999999999996</v>
      </c>
      <c r="J37">
        <f t="shared" si="13"/>
        <v>3.2</v>
      </c>
      <c r="K37">
        <f t="shared" si="13"/>
        <v>2.0499999999999998</v>
      </c>
      <c r="L37">
        <f t="shared" si="13"/>
        <v>1.9</v>
      </c>
    </row>
    <row r="38" spans="2:25">
      <c r="B38" s="10" t="s">
        <v>15</v>
      </c>
      <c r="C38">
        <f t="shared" ref="C38:C43" si="14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13"/>
        <v>1.9999999999999998</v>
      </c>
      <c r="E38">
        <f t="shared" si="13"/>
        <v>2.7</v>
      </c>
      <c r="F38">
        <f t="shared" si="13"/>
        <v>2.1999999999999997</v>
      </c>
      <c r="G38">
        <f t="shared" si="13"/>
        <v>2</v>
      </c>
      <c r="H38">
        <f t="shared" si="13"/>
        <v>1.85</v>
      </c>
      <c r="I38">
        <f t="shared" si="13"/>
        <v>2.65</v>
      </c>
      <c r="J38">
        <f t="shared" si="13"/>
        <v>3.65</v>
      </c>
      <c r="K38">
        <f t="shared" si="13"/>
        <v>2.2999999999999998</v>
      </c>
      <c r="L38">
        <f t="shared" si="13"/>
        <v>1.95</v>
      </c>
    </row>
    <row r="39" spans="2:25">
      <c r="B39" s="10" t="s">
        <v>16</v>
      </c>
      <c r="C39">
        <f t="shared" si="14"/>
        <v>2.5</v>
      </c>
      <c r="D39">
        <f t="shared" si="13"/>
        <v>1.4500000000000002</v>
      </c>
      <c r="E39">
        <f t="shared" si="13"/>
        <v>1.55</v>
      </c>
      <c r="F39">
        <f t="shared" si="13"/>
        <v>2.1000000000000005</v>
      </c>
      <c r="G39">
        <f t="shared" si="13"/>
        <v>2.25</v>
      </c>
      <c r="H39">
        <f t="shared" si="13"/>
        <v>1.8499999999999999</v>
      </c>
      <c r="I39">
        <f t="shared" si="13"/>
        <v>2.0499999999999998</v>
      </c>
      <c r="J39">
        <f t="shared" si="13"/>
        <v>3.65</v>
      </c>
      <c r="K39">
        <f t="shared" si="13"/>
        <v>1.7500000000000002</v>
      </c>
      <c r="L39">
        <f t="shared" si="13"/>
        <v>1.5</v>
      </c>
    </row>
    <row r="40" spans="2:25">
      <c r="B40" s="10" t="s">
        <v>17</v>
      </c>
      <c r="C40">
        <f t="shared" si="14"/>
        <v>3.4000000000000004</v>
      </c>
      <c r="D40">
        <f t="shared" si="13"/>
        <v>1.7</v>
      </c>
      <c r="E40">
        <f t="shared" si="13"/>
        <v>1.9</v>
      </c>
      <c r="F40">
        <f t="shared" si="13"/>
        <v>2.9</v>
      </c>
      <c r="G40">
        <f t="shared" si="13"/>
        <v>3.2</v>
      </c>
      <c r="H40">
        <f t="shared" si="13"/>
        <v>2.5499999999999998</v>
      </c>
      <c r="I40">
        <f t="shared" si="13"/>
        <v>2.25</v>
      </c>
      <c r="J40">
        <f t="shared" si="13"/>
        <v>4.75</v>
      </c>
      <c r="K40">
        <f t="shared" si="13"/>
        <v>2.2000000000000002</v>
      </c>
      <c r="L40">
        <f t="shared" si="13"/>
        <v>1.85</v>
      </c>
    </row>
    <row r="41" spans="2:25">
      <c r="B41" s="10" t="s">
        <v>18</v>
      </c>
      <c r="C41">
        <f t="shared" si="14"/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3"/>
        <v>2.5500000000000003</v>
      </c>
      <c r="G41">
        <f t="shared" si="13"/>
        <v>2.5</v>
      </c>
      <c r="H41">
        <f t="shared" si="13"/>
        <v>2.15</v>
      </c>
      <c r="I41">
        <f t="shared" si="13"/>
        <v>2.7499999999999996</v>
      </c>
      <c r="J41">
        <f t="shared" si="13"/>
        <v>4.5500000000000007</v>
      </c>
      <c r="K41">
        <f t="shared" si="13"/>
        <v>2.4</v>
      </c>
      <c r="L41">
        <f t="shared" si="13"/>
        <v>1.9999999999999998</v>
      </c>
    </row>
    <row r="42" spans="2:25">
      <c r="B42" s="10" t="s">
        <v>19</v>
      </c>
      <c r="C42">
        <f t="shared" si="14"/>
        <v>3.8999999999999995</v>
      </c>
      <c r="D42">
        <f t="shared" si="13"/>
        <v>2.85</v>
      </c>
      <c r="E42">
        <f t="shared" si="13"/>
        <v>3.15</v>
      </c>
      <c r="F42">
        <f t="shared" si="13"/>
        <v>2.7</v>
      </c>
      <c r="G42">
        <f t="shared" si="13"/>
        <v>2.4499999999999997</v>
      </c>
      <c r="H42">
        <f t="shared" si="13"/>
        <v>2.35</v>
      </c>
      <c r="I42">
        <f t="shared" si="13"/>
        <v>3.3999999999999995</v>
      </c>
      <c r="J42">
        <f t="shared" si="13"/>
        <v>4.4000000000000004</v>
      </c>
      <c r="K42">
        <f t="shared" si="13"/>
        <v>3</v>
      </c>
      <c r="L42">
        <f t="shared" si="13"/>
        <v>2.65</v>
      </c>
    </row>
    <row r="43" spans="2:25">
      <c r="B43" s="10" t="s">
        <v>20</v>
      </c>
      <c r="C43">
        <f t="shared" si="14"/>
        <v>2.5999999999999996</v>
      </c>
      <c r="D43">
        <f t="shared" si="13"/>
        <v>1.55</v>
      </c>
      <c r="E43">
        <f t="shared" si="13"/>
        <v>1.6500000000000001</v>
      </c>
      <c r="F43">
        <f t="shared" si="13"/>
        <v>2.25</v>
      </c>
      <c r="G43">
        <f t="shared" si="13"/>
        <v>2.3999999999999995</v>
      </c>
      <c r="H43">
        <f t="shared" si="13"/>
        <v>1.9999999999999998</v>
      </c>
      <c r="I43">
        <f t="shared" si="13"/>
        <v>2.4</v>
      </c>
      <c r="J43">
        <f t="shared" si="13"/>
        <v>3.9</v>
      </c>
      <c r="K43">
        <f t="shared" si="13"/>
        <v>1.9000000000000001</v>
      </c>
      <c r="L43">
        <f t="shared" si="13"/>
        <v>1.65</v>
      </c>
    </row>
    <row r="44" spans="2:25">
      <c r="B44"/>
    </row>
    <row r="45" spans="2:25">
      <c r="B45"/>
    </row>
    <row r="46" spans="2:25">
      <c r="B46"/>
    </row>
    <row r="47" spans="2:25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C84AD-7F19-477A-80B6-FF07735EB866}">
  <dimension ref="A1:X47"/>
  <sheetViews>
    <sheetView showGridLines="0" topLeftCell="A2" zoomScale="55" zoomScaleNormal="55" workbookViewId="0">
      <selection activeCell="D41" sqref="D41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</row>
    <row r="25" spans="1:18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18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3">C26&amp;"x1+ "&amp;D26&amp;"x2+ "&amp;E26&amp;"x3+ "&amp;F26&amp;"x4+ "&amp;G26&amp;"x5+ -"&amp;H26&amp;"x6"</f>
        <v>0,25x1+ 0,15x2+ 0,1x3+ 0,1x4+ 0,1x5+ -0,3x6</v>
      </c>
    </row>
    <row r="27" spans="1:18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4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4"/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>
      <c r="B38" s="10" t="s">
        <v>15</v>
      </c>
      <c r="C38">
        <f t="shared" ref="C38:C43" si="5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4"/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>
      <c r="B39" s="10" t="s">
        <v>16</v>
      </c>
      <c r="C39">
        <f t="shared" si="5"/>
        <v>2.5</v>
      </c>
      <c r="D39">
        <f t="shared" si="4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>
      <c r="B40" s="10" t="s">
        <v>17</v>
      </c>
      <c r="C40">
        <f t="shared" si="5"/>
        <v>3.4000000000000004</v>
      </c>
      <c r="D40">
        <f t="shared" si="4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>
      <c r="B41" s="10" t="s">
        <v>18</v>
      </c>
      <c r="C41">
        <f t="shared" si="5"/>
        <v>3.4000000000000004</v>
      </c>
      <c r="D41">
        <f t="shared" si="4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>
      <c r="B42" s="10" t="s">
        <v>19</v>
      </c>
      <c r="C42">
        <f t="shared" si="5"/>
        <v>3.8999999999999995</v>
      </c>
      <c r="D42">
        <f t="shared" si="4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>
      <c r="B43" s="10" t="s">
        <v>20</v>
      </c>
      <c r="C43">
        <f t="shared" si="5"/>
        <v>2.5999999999999996</v>
      </c>
      <c r="D43">
        <f t="shared" si="4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  <row r="44" spans="2:12">
      <c r="B44"/>
    </row>
    <row r="45" spans="2:12">
      <c r="B45"/>
    </row>
    <row r="46" spans="2:12">
      <c r="B46"/>
    </row>
    <row r="47" spans="2:12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6DBC-23F0-43CD-A57E-4B1CEF4F157C}">
  <dimension ref="A1:X47"/>
  <sheetViews>
    <sheetView showGridLines="0" zoomScale="55" zoomScaleNormal="55" workbookViewId="0">
      <selection activeCell="R13" sqref="R13:X13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</row>
    <row r="25" spans="1:18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18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3">C26&amp;"x1+ "&amp;D26&amp;"x2+ "&amp;E26&amp;"x3+ "&amp;F26&amp;"x4+ "&amp;G26&amp;"x5+ -"&amp;H26&amp;"x6"</f>
        <v>0,25x1+ 0,15x2+ 0,1x3+ 0,1x4+ 0,1x5+ -0,3x6</v>
      </c>
    </row>
    <row r="27" spans="1:18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4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4"/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>
      <c r="B38" s="10" t="s">
        <v>15</v>
      </c>
      <c r="C38">
        <f t="shared" ref="C38:C43" si="5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4"/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>
      <c r="B39" s="10" t="s">
        <v>16</v>
      </c>
      <c r="C39">
        <f t="shared" si="5"/>
        <v>2.5</v>
      </c>
      <c r="D39">
        <f t="shared" si="4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>
      <c r="B40" s="10" t="s">
        <v>17</v>
      </c>
      <c r="C40">
        <f t="shared" si="5"/>
        <v>3.4000000000000004</v>
      </c>
      <c r="D40">
        <f t="shared" si="4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>
      <c r="B41" s="10" t="s">
        <v>18</v>
      </c>
      <c r="C41">
        <f t="shared" si="5"/>
        <v>3.4000000000000004</v>
      </c>
      <c r="D41">
        <f t="shared" si="4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>
      <c r="B42" s="10" t="s">
        <v>19</v>
      </c>
      <c r="C42">
        <f t="shared" si="5"/>
        <v>3.8999999999999995</v>
      </c>
      <c r="D42">
        <f t="shared" si="4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>
      <c r="B43" s="10" t="s">
        <v>20</v>
      </c>
      <c r="C43">
        <f t="shared" si="5"/>
        <v>2.5999999999999996</v>
      </c>
      <c r="D43">
        <f t="shared" si="4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  <row r="44" spans="2:12">
      <c r="B44"/>
    </row>
    <row r="45" spans="2:12">
      <c r="B45"/>
    </row>
    <row r="46" spans="2:12">
      <c r="B46"/>
    </row>
    <row r="47" spans="2:12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7A55E-8665-4C84-9920-F7BBF0B512DB}">
  <dimension ref="A1:R39"/>
  <sheetViews>
    <sheetView showGridLines="0" zoomScale="70" zoomScaleNormal="70" workbookViewId="0">
      <selection activeCell="A24" sqref="A24:XFD34"/>
    </sheetView>
  </sheetViews>
  <sheetFormatPr defaultColWidth="8.6640625" defaultRowHeight="14.4"/>
  <cols>
    <col min="1" max="1" width="8.6640625" customWidth="1"/>
    <col min="2" max="2" width="19" style="3" bestFit="1" customWidth="1"/>
    <col min="3" max="10" width="13.6640625" customWidth="1"/>
    <col min="11" max="11" width="21.5546875" bestFit="1" customWidth="1"/>
    <col min="12" max="14" width="13.6640625" customWidth="1"/>
    <col min="15" max="15" width="12.109375" bestFit="1" customWidth="1"/>
    <col min="16" max="16" width="13.109375" customWidth="1"/>
  </cols>
  <sheetData>
    <row r="1" spans="2:18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</row>
    <row r="4" spans="2:18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</row>
    <row r="5" spans="2:18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</row>
    <row r="6" spans="2:18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</row>
    <row r="13" spans="2:18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</row>
    <row r="14" spans="2:18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18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18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31" spans="1:18">
      <c r="B31" s="63" t="s">
        <v>2</v>
      </c>
      <c r="C31" s="65" t="s">
        <v>43</v>
      </c>
      <c r="D31" s="66"/>
      <c r="E31" s="66"/>
      <c r="F31" s="66"/>
    </row>
    <row r="32" spans="1:18">
      <c r="B32" s="64"/>
      <c r="C32" s="65"/>
      <c r="D32" s="66"/>
      <c r="E32" s="66"/>
      <c r="F32" s="66"/>
    </row>
    <row r="33" spans="2:6">
      <c r="B33" s="7" t="s">
        <v>20</v>
      </c>
      <c r="C33" s="67" t="s">
        <v>44</v>
      </c>
      <c r="D33" s="67"/>
      <c r="E33" s="67"/>
      <c r="F33" s="67"/>
    </row>
    <row r="34" spans="2:6">
      <c r="B34" s="7" t="s">
        <v>17</v>
      </c>
      <c r="C34" s="67" t="s">
        <v>45</v>
      </c>
      <c r="D34" s="67"/>
      <c r="E34" s="67"/>
      <c r="F34" s="67"/>
    </row>
    <row r="35" spans="2:6">
      <c r="B35" s="12" t="s">
        <v>14</v>
      </c>
      <c r="C35" s="67" t="s">
        <v>51</v>
      </c>
      <c r="D35" s="67"/>
      <c r="E35" s="67"/>
      <c r="F35" s="67"/>
    </row>
    <row r="36" spans="2:6">
      <c r="B36" s="12" t="s">
        <v>16</v>
      </c>
      <c r="C36" s="67" t="s">
        <v>47</v>
      </c>
      <c r="D36" s="67"/>
      <c r="E36" s="67"/>
      <c r="F36" s="67"/>
    </row>
    <row r="37" spans="2:6">
      <c r="B37" s="13" t="s">
        <v>48</v>
      </c>
      <c r="C37" s="60" t="s">
        <v>49</v>
      </c>
      <c r="D37" s="61"/>
      <c r="E37" s="61"/>
      <c r="F37" s="62"/>
    </row>
    <row r="38" spans="2:6">
      <c r="B38" s="12" t="s">
        <v>19</v>
      </c>
      <c r="C38" s="60" t="s">
        <v>50</v>
      </c>
      <c r="D38" s="61"/>
      <c r="E38" s="61"/>
      <c r="F38" s="62"/>
    </row>
    <row r="39" spans="2:6">
      <c r="B39"/>
    </row>
  </sheetData>
  <mergeCells count="14">
    <mergeCell ref="G12:G13"/>
    <mergeCell ref="B12:B13"/>
    <mergeCell ref="C12:C13"/>
    <mergeCell ref="D12:D13"/>
    <mergeCell ref="E12:E13"/>
    <mergeCell ref="F12:F13"/>
    <mergeCell ref="C37:F37"/>
    <mergeCell ref="C38:F38"/>
    <mergeCell ref="B31:B32"/>
    <mergeCell ref="C31:F32"/>
    <mergeCell ref="C33:F33"/>
    <mergeCell ref="C34:F34"/>
    <mergeCell ref="C35:F35"/>
    <mergeCell ref="C36:F3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83B93D2C0B4B44894B57C95EDB7C175" ma:contentTypeVersion="4" ma:contentTypeDescription="Create a new document." ma:contentTypeScope="" ma:versionID="abc6b69c464f0c1f564918d5cc6b2be0">
  <xsd:schema xmlns:xsd="http://www.w3.org/2001/XMLSchema" xmlns:xs="http://www.w3.org/2001/XMLSchema" xmlns:p="http://schemas.microsoft.com/office/2006/metadata/properties" xmlns:ns2="1d221033-8f68-4f64-8173-c37f62a0bd87" targetNamespace="http://schemas.microsoft.com/office/2006/metadata/properties" ma:root="true" ma:fieldsID="61d3ffffcd31529c89d25309ac155b3a" ns2:_="">
    <xsd:import namespace="1d221033-8f68-4f64-8173-c37f62a0bd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221033-8f68-4f64-8173-c37f62a0bd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54EE915-40F5-4CCE-9CC0-BE40D0FEFA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d221033-8f68-4f64-8173-c37f62a0bd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19FE8E-9B8B-494A-96CD-460D2B41AC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9F9414-31D7-4DF4-88B7-66C178E0A1D4}">
  <ds:schemaRefs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1d221033-8f68-4f64-8173-c37f62a0bd8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Arya Case (Solution)</vt:lpstr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Arda Aydin</cp:lastModifiedBy>
  <cp:revision/>
  <dcterms:created xsi:type="dcterms:W3CDTF">2025-03-24T15:02:08Z</dcterms:created>
  <dcterms:modified xsi:type="dcterms:W3CDTF">2026-02-16T09:41:12Z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0x010100A83B93D2C0B4B44894B57C95EDB7C175</vt:lpwstr>
  </property>
</Properties>
</file>