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F44D1E76-439A-4084-8C10-8A1C9952E83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upplier" sheetId="1" r:id="rId1"/>
    <sheet name="User" sheetId="2" r:id="rId2"/>
    <sheet name="Max Profit Agent" sheetId="3" r:id="rId3"/>
    <sheet name="Min Cost Agent (2)" sheetId="4" r:id="rId4"/>
    <sheet name="Max Match Agent" sheetId="5" r:id="rId5"/>
    <sheet name="Best Global Policy" sheetId="6" r:id="rId6"/>
    <sheet name="Arya Case" sheetId="7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7" l="1" a="1"/>
  <c r="G20" i="7" s="1"/>
  <c r="F14" i="7" a="1"/>
  <c r="F20" i="7" s="1"/>
  <c r="E18" i="7"/>
  <c r="E14" i="7" a="1"/>
  <c r="E16" i="7" s="1"/>
  <c r="D14" i="7" a="1"/>
  <c r="D20" i="7" s="1"/>
  <c r="C14" i="7" a="1"/>
  <c r="C20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K14" i="7" s="1" a="1"/>
  <c r="L4" i="7"/>
  <c r="J14" i="7" s="1" a="1"/>
  <c r="K4" i="7"/>
  <c r="L43" i="6"/>
  <c r="K43" i="6"/>
  <c r="J43" i="6"/>
  <c r="I43" i="6"/>
  <c r="H43" i="6"/>
  <c r="G43" i="6"/>
  <c r="F43" i="6"/>
  <c r="E43" i="6"/>
  <c r="D43" i="6"/>
  <c r="C43" i="6"/>
  <c r="L42" i="6"/>
  <c r="K42" i="6"/>
  <c r="J42" i="6"/>
  <c r="I42" i="6"/>
  <c r="H42" i="6"/>
  <c r="G42" i="6"/>
  <c r="F42" i="6"/>
  <c r="E42" i="6"/>
  <c r="D42" i="6"/>
  <c r="C42" i="6"/>
  <c r="L41" i="6"/>
  <c r="K41" i="6"/>
  <c r="J41" i="6"/>
  <c r="I41" i="6"/>
  <c r="H41" i="6"/>
  <c r="G41" i="6"/>
  <c r="F41" i="6"/>
  <c r="E41" i="6"/>
  <c r="D41" i="6"/>
  <c r="C41" i="6"/>
  <c r="L40" i="6"/>
  <c r="K40" i="6"/>
  <c r="J40" i="6"/>
  <c r="I40" i="6"/>
  <c r="H40" i="6"/>
  <c r="G40" i="6"/>
  <c r="F40" i="6"/>
  <c r="E40" i="6"/>
  <c r="D40" i="6"/>
  <c r="C40" i="6"/>
  <c r="L39" i="6"/>
  <c r="K39" i="6"/>
  <c r="J39" i="6"/>
  <c r="I39" i="6"/>
  <c r="H39" i="6"/>
  <c r="G39" i="6"/>
  <c r="F39" i="6"/>
  <c r="E39" i="6"/>
  <c r="D39" i="6"/>
  <c r="C39" i="6"/>
  <c r="L38" i="6"/>
  <c r="K38" i="6"/>
  <c r="J38" i="6"/>
  <c r="I38" i="6"/>
  <c r="H38" i="6"/>
  <c r="G38" i="6"/>
  <c r="F38" i="6"/>
  <c r="E38" i="6"/>
  <c r="D38" i="6"/>
  <c r="C38" i="6"/>
  <c r="L37" i="6"/>
  <c r="K37" i="6"/>
  <c r="J37" i="6"/>
  <c r="I37" i="6"/>
  <c r="H37" i="6"/>
  <c r="G37" i="6"/>
  <c r="F37" i="6"/>
  <c r="E37" i="6"/>
  <c r="D37" i="6"/>
  <c r="C37" i="6"/>
  <c r="I34" i="6"/>
  <c r="I33" i="6"/>
  <c r="I32" i="6"/>
  <c r="I31" i="6"/>
  <c r="I30" i="6"/>
  <c r="I29" i="6"/>
  <c r="I28" i="6"/>
  <c r="I27" i="6"/>
  <c r="I26" i="6"/>
  <c r="I25" i="6"/>
  <c r="G19" i="6"/>
  <c r="G15" i="6"/>
  <c r="G14" i="6" a="1"/>
  <c r="G14" i="6" s="1"/>
  <c r="F19" i="6"/>
  <c r="F15" i="6"/>
  <c r="F14" i="6" a="1"/>
  <c r="F20" i="6" s="1"/>
  <c r="E19" i="6"/>
  <c r="E18" i="6"/>
  <c r="E15" i="6"/>
  <c r="E14" i="6" a="1"/>
  <c r="E17" i="6" s="1"/>
  <c r="D19" i="6"/>
  <c r="D15" i="6"/>
  <c r="D14" i="6" a="1"/>
  <c r="D14" i="6" s="1"/>
  <c r="C15" i="6"/>
  <c r="C14" i="6" a="1"/>
  <c r="C20" i="6" s="1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J14" i="6" s="1" a="1"/>
  <c r="K6" i="6"/>
  <c r="M5" i="6"/>
  <c r="L5" i="6"/>
  <c r="K5" i="6"/>
  <c r="M4" i="6"/>
  <c r="K14" i="6" s="1" a="1"/>
  <c r="L4" i="6"/>
  <c r="K4" i="6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K38" i="5"/>
  <c r="J38" i="5"/>
  <c r="I38" i="5"/>
  <c r="H38" i="5"/>
  <c r="G38" i="5"/>
  <c r="F38" i="5"/>
  <c r="E38" i="5"/>
  <c r="D38" i="5"/>
  <c r="C38" i="5"/>
  <c r="L37" i="5"/>
  <c r="K37" i="5"/>
  <c r="J37" i="5"/>
  <c r="I37" i="5"/>
  <c r="H37" i="5"/>
  <c r="G37" i="5"/>
  <c r="F37" i="5"/>
  <c r="E37" i="5"/>
  <c r="D37" i="5"/>
  <c r="C37" i="5"/>
  <c r="I34" i="5"/>
  <c r="I33" i="5"/>
  <c r="I32" i="5"/>
  <c r="I31" i="5"/>
  <c r="I30" i="5"/>
  <c r="I29" i="5"/>
  <c r="I28" i="5"/>
  <c r="I27" i="5"/>
  <c r="I26" i="5"/>
  <c r="I25" i="5"/>
  <c r="G20" i="5"/>
  <c r="G19" i="5"/>
  <c r="G16" i="5"/>
  <c r="G15" i="5"/>
  <c r="G14" i="5" a="1"/>
  <c r="G14" i="5" s="1"/>
  <c r="F20" i="5"/>
  <c r="F19" i="5"/>
  <c r="F16" i="5"/>
  <c r="F15" i="5"/>
  <c r="F14" i="5" a="1"/>
  <c r="F18" i="5" s="1"/>
  <c r="E20" i="5"/>
  <c r="E19" i="5"/>
  <c r="E16" i="5"/>
  <c r="E15" i="5"/>
  <c r="E14" i="5" a="1"/>
  <c r="E18" i="5" s="1"/>
  <c r="D20" i="5"/>
  <c r="D19" i="5"/>
  <c r="D16" i="5"/>
  <c r="D15" i="5"/>
  <c r="D14" i="5" a="1"/>
  <c r="D14" i="5" s="1"/>
  <c r="C16" i="5"/>
  <c r="C14" i="5" a="1"/>
  <c r="C20" i="5" s="1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K14" i="5" s="1" a="1"/>
  <c r="L4" i="5"/>
  <c r="J14" i="5" s="1" a="1"/>
  <c r="K4" i="5"/>
  <c r="L43" i="4"/>
  <c r="K43" i="4"/>
  <c r="J43" i="4"/>
  <c r="I43" i="4"/>
  <c r="H43" i="4"/>
  <c r="G43" i="4"/>
  <c r="F43" i="4"/>
  <c r="E43" i="4"/>
  <c r="D43" i="4"/>
  <c r="C43" i="4"/>
  <c r="L42" i="4"/>
  <c r="K42" i="4"/>
  <c r="J42" i="4"/>
  <c r="I42" i="4"/>
  <c r="H42" i="4"/>
  <c r="G42" i="4"/>
  <c r="F42" i="4"/>
  <c r="E42" i="4"/>
  <c r="D42" i="4"/>
  <c r="C42" i="4"/>
  <c r="L41" i="4"/>
  <c r="K41" i="4"/>
  <c r="J41" i="4"/>
  <c r="I41" i="4"/>
  <c r="H41" i="4"/>
  <c r="G41" i="4"/>
  <c r="F41" i="4"/>
  <c r="E41" i="4"/>
  <c r="D41" i="4"/>
  <c r="C41" i="4"/>
  <c r="L40" i="4"/>
  <c r="K40" i="4"/>
  <c r="J40" i="4"/>
  <c r="I40" i="4"/>
  <c r="H40" i="4"/>
  <c r="G40" i="4"/>
  <c r="F40" i="4"/>
  <c r="E40" i="4"/>
  <c r="D40" i="4"/>
  <c r="C40" i="4"/>
  <c r="L39" i="4"/>
  <c r="K39" i="4"/>
  <c r="J39" i="4"/>
  <c r="I39" i="4"/>
  <c r="H39" i="4"/>
  <c r="G39" i="4"/>
  <c r="F39" i="4"/>
  <c r="E39" i="4"/>
  <c r="D39" i="4"/>
  <c r="C39" i="4"/>
  <c r="L38" i="4"/>
  <c r="K38" i="4"/>
  <c r="J38" i="4"/>
  <c r="I38" i="4"/>
  <c r="H38" i="4"/>
  <c r="G38" i="4"/>
  <c r="F38" i="4"/>
  <c r="E38" i="4"/>
  <c r="D38" i="4"/>
  <c r="C38" i="4"/>
  <c r="L37" i="4"/>
  <c r="K37" i="4"/>
  <c r="J37" i="4"/>
  <c r="I37" i="4"/>
  <c r="H37" i="4"/>
  <c r="G37" i="4"/>
  <c r="F37" i="4"/>
  <c r="E37" i="4"/>
  <c r="D37" i="4"/>
  <c r="C37" i="4"/>
  <c r="X34" i="4"/>
  <c r="T34" i="4"/>
  <c r="S34" i="4"/>
  <c r="I34" i="4"/>
  <c r="X33" i="4"/>
  <c r="U33" i="4"/>
  <c r="T33" i="4"/>
  <c r="I33" i="4"/>
  <c r="U32" i="4"/>
  <c r="I32" i="4"/>
  <c r="X31" i="4"/>
  <c r="W31" i="4"/>
  <c r="I31" i="4"/>
  <c r="U30" i="4"/>
  <c r="T30" i="4"/>
  <c r="I30" i="4"/>
  <c r="X29" i="4"/>
  <c r="U29" i="4"/>
  <c r="I29" i="4"/>
  <c r="W28" i="4"/>
  <c r="U28" i="4"/>
  <c r="I28" i="4"/>
  <c r="I27" i="4"/>
  <c r="I26" i="4"/>
  <c r="I25" i="4"/>
  <c r="Z24" i="4"/>
  <c r="X24" i="4"/>
  <c r="W24" i="4"/>
  <c r="W34" i="4" s="1"/>
  <c r="V24" i="4"/>
  <c r="Y24" i="4" s="1"/>
  <c r="U24" i="4"/>
  <c r="AA24" i="4" s="1"/>
  <c r="T24" i="4"/>
  <c r="S24" i="4"/>
  <c r="AA23" i="4"/>
  <c r="X23" i="4"/>
  <c r="W23" i="4"/>
  <c r="W33" i="4" s="1"/>
  <c r="V23" i="4"/>
  <c r="V33" i="4" s="1"/>
  <c r="U23" i="4"/>
  <c r="T23" i="4"/>
  <c r="S23" i="4"/>
  <c r="Z23" i="4" s="1"/>
  <c r="X22" i="4"/>
  <c r="X32" i="4" s="1"/>
  <c r="W22" i="4"/>
  <c r="W32" i="4" s="1"/>
  <c r="V22" i="4"/>
  <c r="V32" i="4" s="1"/>
  <c r="U22" i="4"/>
  <c r="T22" i="4"/>
  <c r="T32" i="4" s="1"/>
  <c r="S22" i="4"/>
  <c r="Y22" i="4" s="1"/>
  <c r="X21" i="4"/>
  <c r="W21" i="4"/>
  <c r="V21" i="4"/>
  <c r="V31" i="4" s="1"/>
  <c r="U21" i="4"/>
  <c r="U31" i="4" s="1"/>
  <c r="T21" i="4"/>
  <c r="T31" i="4" s="1"/>
  <c r="S21" i="4"/>
  <c r="AA21" i="4" s="1"/>
  <c r="Z20" i="4"/>
  <c r="Y20" i="4"/>
  <c r="X20" i="4"/>
  <c r="X30" i="4" s="1"/>
  <c r="W20" i="4"/>
  <c r="W30" i="4" s="1"/>
  <c r="V20" i="4"/>
  <c r="V30" i="4" s="1"/>
  <c r="U20" i="4"/>
  <c r="T20" i="4"/>
  <c r="S20" i="4"/>
  <c r="AA20" i="4" s="1"/>
  <c r="AA19" i="4"/>
  <c r="Y19" i="4"/>
  <c r="X19" i="4"/>
  <c r="W19" i="4"/>
  <c r="W29" i="4" s="1"/>
  <c r="V19" i="4"/>
  <c r="V29" i="4" s="1"/>
  <c r="U19" i="4"/>
  <c r="T19" i="4"/>
  <c r="T29" i="4" s="1"/>
  <c r="S19" i="4"/>
  <c r="Z19" i="4" s="1"/>
  <c r="X18" i="4"/>
  <c r="X28" i="4" s="1"/>
  <c r="W18" i="4"/>
  <c r="V18" i="4"/>
  <c r="V28" i="4" s="1"/>
  <c r="U18" i="4"/>
  <c r="T18" i="4"/>
  <c r="T28" i="4" s="1"/>
  <c r="S18" i="4"/>
  <c r="Y18" i="4" s="1"/>
  <c r="G14" i="4" a="1"/>
  <c r="G19" i="4" s="1"/>
  <c r="F14" i="4" a="1"/>
  <c r="F15" i="4" s="1"/>
  <c r="E14" i="4" a="1"/>
  <c r="E20" i="4" s="1"/>
  <c r="D18" i="4"/>
  <c r="D14" i="4" a="1"/>
  <c r="D19" i="4" s="1"/>
  <c r="C14" i="4" a="1"/>
  <c r="C15" i="4" s="1"/>
  <c r="M10" i="4"/>
  <c r="L10" i="4"/>
  <c r="K10" i="4"/>
  <c r="M9" i="4"/>
  <c r="L9" i="4"/>
  <c r="K9" i="4"/>
  <c r="M8" i="4"/>
  <c r="L8" i="4"/>
  <c r="K8" i="4"/>
  <c r="M7" i="4"/>
  <c r="L7" i="4"/>
  <c r="J14" i="4" s="1" a="1"/>
  <c r="K7" i="4"/>
  <c r="M6" i="4"/>
  <c r="L6" i="4"/>
  <c r="K6" i="4"/>
  <c r="M5" i="4"/>
  <c r="L5" i="4"/>
  <c r="K5" i="4"/>
  <c r="M4" i="4"/>
  <c r="K14" i="4" s="1" a="1"/>
  <c r="L4" i="4"/>
  <c r="K4" i="4"/>
  <c r="C55" i="3"/>
  <c r="C51" i="3"/>
  <c r="C49" i="3"/>
  <c r="B49" i="3"/>
  <c r="L43" i="3"/>
  <c r="K43" i="3"/>
  <c r="J43" i="3"/>
  <c r="I43" i="3"/>
  <c r="H43" i="3"/>
  <c r="G43" i="3"/>
  <c r="F43" i="3"/>
  <c r="E43" i="3"/>
  <c r="M43" i="3" s="1"/>
  <c r="D43" i="3"/>
  <c r="C43" i="3"/>
  <c r="L42" i="3"/>
  <c r="K42" i="3"/>
  <c r="J42" i="3"/>
  <c r="I42" i="3"/>
  <c r="H42" i="3"/>
  <c r="G42" i="3"/>
  <c r="F42" i="3"/>
  <c r="E42" i="3"/>
  <c r="D42" i="3"/>
  <c r="M42" i="3" s="1"/>
  <c r="C42" i="3"/>
  <c r="L41" i="3"/>
  <c r="K41" i="3"/>
  <c r="J41" i="3"/>
  <c r="I41" i="3"/>
  <c r="H41" i="3"/>
  <c r="G41" i="3"/>
  <c r="F41" i="3"/>
  <c r="E41" i="3"/>
  <c r="D41" i="3"/>
  <c r="C41" i="3"/>
  <c r="M41" i="3" s="1"/>
  <c r="L40" i="3"/>
  <c r="K40" i="3"/>
  <c r="J40" i="3"/>
  <c r="I40" i="3"/>
  <c r="H40" i="3"/>
  <c r="G40" i="3"/>
  <c r="F40" i="3"/>
  <c r="E40" i="3"/>
  <c r="D40" i="3"/>
  <c r="C40" i="3"/>
  <c r="M40" i="3" s="1"/>
  <c r="L39" i="3"/>
  <c r="K39" i="3"/>
  <c r="J39" i="3"/>
  <c r="I39" i="3"/>
  <c r="H39" i="3"/>
  <c r="M39" i="3" s="1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D44" i="3" s="1"/>
  <c r="C38" i="3"/>
  <c r="L37" i="3"/>
  <c r="L44" i="3" s="1"/>
  <c r="K37" i="3"/>
  <c r="K44" i="3" s="1"/>
  <c r="J37" i="3"/>
  <c r="J44" i="3" s="1"/>
  <c r="I37" i="3"/>
  <c r="I44" i="3" s="1"/>
  <c r="H37" i="3"/>
  <c r="H44" i="3" s="1"/>
  <c r="G37" i="3"/>
  <c r="G44" i="3" s="1"/>
  <c r="F37" i="3"/>
  <c r="F44" i="3" s="1"/>
  <c r="E37" i="3"/>
  <c r="E44" i="3" s="1"/>
  <c r="D37" i="3"/>
  <c r="C37" i="3"/>
  <c r="C44" i="3" s="1"/>
  <c r="V34" i="3"/>
  <c r="T34" i="3"/>
  <c r="I34" i="3"/>
  <c r="V33" i="3"/>
  <c r="I33" i="3"/>
  <c r="W32" i="3"/>
  <c r="V32" i="3"/>
  <c r="U32" i="3"/>
  <c r="I32" i="3"/>
  <c r="T31" i="3"/>
  <c r="S31" i="3"/>
  <c r="I31" i="3"/>
  <c r="I30" i="3"/>
  <c r="X29" i="3"/>
  <c r="W29" i="3"/>
  <c r="V29" i="3"/>
  <c r="U29" i="3"/>
  <c r="I29" i="3"/>
  <c r="W28" i="3"/>
  <c r="V28" i="3"/>
  <c r="U28" i="3"/>
  <c r="T28" i="3"/>
  <c r="S28" i="3"/>
  <c r="Y28" i="3" s="1"/>
  <c r="I28" i="3"/>
  <c r="I27" i="3"/>
  <c r="I26" i="3"/>
  <c r="I25" i="3"/>
  <c r="X24" i="3"/>
  <c r="X34" i="3" s="1"/>
  <c r="W24" i="3"/>
  <c r="W34" i="3" s="1"/>
  <c r="V24" i="3"/>
  <c r="U24" i="3"/>
  <c r="U34" i="3" s="1"/>
  <c r="T24" i="3"/>
  <c r="S24" i="3"/>
  <c r="S34" i="3" s="1"/>
  <c r="AA23" i="3"/>
  <c r="X23" i="3"/>
  <c r="X33" i="3" s="1"/>
  <c r="W23" i="3"/>
  <c r="W33" i="3" s="1"/>
  <c r="V23" i="3"/>
  <c r="U23" i="3"/>
  <c r="U33" i="3" s="1"/>
  <c r="T23" i="3"/>
  <c r="T33" i="3" s="1"/>
  <c r="S23" i="3"/>
  <c r="Z23" i="3" s="1"/>
  <c r="AA22" i="3"/>
  <c r="Z22" i="3"/>
  <c r="Y22" i="3"/>
  <c r="X22" i="3"/>
  <c r="X32" i="3" s="1"/>
  <c r="W22" i="3"/>
  <c r="V22" i="3"/>
  <c r="U22" i="3"/>
  <c r="T22" i="3"/>
  <c r="T32" i="3" s="1"/>
  <c r="S22" i="3"/>
  <c r="S32" i="3" s="1"/>
  <c r="X21" i="3"/>
  <c r="X31" i="3" s="1"/>
  <c r="W21" i="3"/>
  <c r="W31" i="3" s="1"/>
  <c r="V21" i="3"/>
  <c r="V31" i="3" s="1"/>
  <c r="U21" i="3"/>
  <c r="U31" i="3" s="1"/>
  <c r="T21" i="3"/>
  <c r="S21" i="3"/>
  <c r="X20" i="3"/>
  <c r="X30" i="3" s="1"/>
  <c r="W20" i="3"/>
  <c r="W30" i="3" s="1"/>
  <c r="V20" i="3"/>
  <c r="V30" i="3" s="1"/>
  <c r="U20" i="3"/>
  <c r="U30" i="3" s="1"/>
  <c r="T20" i="3"/>
  <c r="T30" i="3" s="1"/>
  <c r="S20" i="3"/>
  <c r="AA20" i="3" s="1"/>
  <c r="AA19" i="3"/>
  <c r="X19" i="3"/>
  <c r="W19" i="3"/>
  <c r="V19" i="3"/>
  <c r="U19" i="3"/>
  <c r="T19" i="3"/>
  <c r="T29" i="3" s="1"/>
  <c r="S19" i="3"/>
  <c r="Z19" i="3" s="1"/>
  <c r="AA18" i="3"/>
  <c r="Z18" i="3"/>
  <c r="Y18" i="3"/>
  <c r="X18" i="3"/>
  <c r="X28" i="3" s="1"/>
  <c r="W18" i="3"/>
  <c r="V18" i="3"/>
  <c r="U18" i="3"/>
  <c r="T18" i="3"/>
  <c r="S18" i="3"/>
  <c r="K14" i="3" a="1"/>
  <c r="K19" i="3" s="1"/>
  <c r="G20" i="3"/>
  <c r="G19" i="3"/>
  <c r="G18" i="3"/>
  <c r="G15" i="3"/>
  <c r="G14" i="3" a="1"/>
  <c r="G17" i="3" s="1"/>
  <c r="F14" i="3" a="1"/>
  <c r="F18" i="3" s="1"/>
  <c r="E14" i="3" a="1"/>
  <c r="E19" i="3" s="1"/>
  <c r="E14" i="3"/>
  <c r="D20" i="3"/>
  <c r="D19" i="3"/>
  <c r="D18" i="3"/>
  <c r="D15" i="3"/>
  <c r="D14" i="3" a="1"/>
  <c r="D17" i="3" s="1"/>
  <c r="C14" i="3" a="1"/>
  <c r="C16" i="3" s="1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J14" i="3" s="1" a="1"/>
  <c r="K4" i="3"/>
  <c r="K20" i="5" l="1"/>
  <c r="K19" i="5"/>
  <c r="K18" i="5"/>
  <c r="K17" i="5"/>
  <c r="K16" i="5"/>
  <c r="K15" i="5"/>
  <c r="K14" i="5"/>
  <c r="J14" i="3"/>
  <c r="J15" i="3"/>
  <c r="J20" i="3"/>
  <c r="J19" i="3"/>
  <c r="J18" i="3"/>
  <c r="J16" i="3"/>
  <c r="J17" i="3"/>
  <c r="K20" i="6"/>
  <c r="K19" i="6"/>
  <c r="K18" i="6"/>
  <c r="K17" i="6"/>
  <c r="K16" i="6"/>
  <c r="K15" i="6"/>
  <c r="K14" i="6"/>
  <c r="Y32" i="3"/>
  <c r="J20" i="4"/>
  <c r="J19" i="4"/>
  <c r="J18" i="4"/>
  <c r="J17" i="4"/>
  <c r="J16" i="4"/>
  <c r="J15" i="4"/>
  <c r="J14" i="4"/>
  <c r="Y31" i="3"/>
  <c r="J17" i="6"/>
  <c r="J16" i="6"/>
  <c r="J15" i="6"/>
  <c r="J14" i="6"/>
  <c r="J20" i="6"/>
  <c r="J19" i="6"/>
  <c r="J18" i="6"/>
  <c r="Y34" i="3"/>
  <c r="K15" i="4"/>
  <c r="K14" i="4"/>
  <c r="K20" i="4"/>
  <c r="K19" i="4"/>
  <c r="K18" i="4"/>
  <c r="K17" i="4"/>
  <c r="K16" i="4"/>
  <c r="J16" i="7"/>
  <c r="J15" i="7"/>
  <c r="J14" i="7"/>
  <c r="J20" i="7"/>
  <c r="J19" i="7"/>
  <c r="J18" i="7"/>
  <c r="J17" i="7"/>
  <c r="J18" i="5"/>
  <c r="J17" i="5"/>
  <c r="J16" i="5"/>
  <c r="J15" i="5"/>
  <c r="J14" i="5"/>
  <c r="J20" i="5"/>
  <c r="J19" i="5"/>
  <c r="K20" i="7"/>
  <c r="K19" i="7"/>
  <c r="K18" i="7"/>
  <c r="K17" i="7"/>
  <c r="K16" i="7"/>
  <c r="K15" i="7"/>
  <c r="K14" i="7"/>
  <c r="F15" i="3"/>
  <c r="D14" i="3"/>
  <c r="E17" i="3"/>
  <c r="G14" i="3"/>
  <c r="Y20" i="3"/>
  <c r="Y24" i="3"/>
  <c r="M37" i="3"/>
  <c r="C16" i="4"/>
  <c r="D20" i="4"/>
  <c r="F16" i="4"/>
  <c r="G20" i="4"/>
  <c r="Z18" i="4"/>
  <c r="Z22" i="4"/>
  <c r="S28" i="4"/>
  <c r="Y28" i="4" s="1"/>
  <c r="S31" i="4"/>
  <c r="Y31" i="4" s="1"/>
  <c r="D14" i="7"/>
  <c r="E17" i="7"/>
  <c r="G14" i="7"/>
  <c r="C20" i="3"/>
  <c r="E16" i="3"/>
  <c r="F20" i="3"/>
  <c r="K20" i="3"/>
  <c r="AA21" i="3"/>
  <c r="S30" i="3"/>
  <c r="Y30" i="3" s="1"/>
  <c r="S33" i="3"/>
  <c r="Y33" i="3" s="1"/>
  <c r="M38" i="3"/>
  <c r="E18" i="3"/>
  <c r="Z20" i="3"/>
  <c r="Z24" i="3"/>
  <c r="C17" i="4"/>
  <c r="E14" i="4"/>
  <c r="F17" i="4"/>
  <c r="AA18" i="4"/>
  <c r="AA22" i="4"/>
  <c r="C15" i="3"/>
  <c r="C17" i="3"/>
  <c r="F17" i="3"/>
  <c r="K17" i="3"/>
  <c r="C18" i="3"/>
  <c r="AA24" i="3"/>
  <c r="Y21" i="4"/>
  <c r="U34" i="4"/>
  <c r="Y34" i="4" s="1"/>
  <c r="C14" i="5"/>
  <c r="D17" i="5"/>
  <c r="F14" i="5"/>
  <c r="G17" i="5"/>
  <c r="D16" i="6"/>
  <c r="E20" i="6"/>
  <c r="G16" i="6"/>
  <c r="D15" i="7"/>
  <c r="E19" i="7"/>
  <c r="G15" i="7"/>
  <c r="Z21" i="3"/>
  <c r="C18" i="4"/>
  <c r="F18" i="4"/>
  <c r="D16" i="3"/>
  <c r="E20" i="3"/>
  <c r="G16" i="3"/>
  <c r="Y23" i="3"/>
  <c r="S29" i="3"/>
  <c r="Y29" i="3" s="1"/>
  <c r="C19" i="4"/>
  <c r="E15" i="4"/>
  <c r="F19" i="4"/>
  <c r="Z21" i="4"/>
  <c r="V34" i="4"/>
  <c r="D18" i="5"/>
  <c r="G18" i="5"/>
  <c r="C14" i="6"/>
  <c r="D17" i="6"/>
  <c r="F14" i="6"/>
  <c r="G17" i="6"/>
  <c r="D16" i="7"/>
  <c r="E20" i="7"/>
  <c r="G16" i="7"/>
  <c r="C19" i="3"/>
  <c r="E15" i="3"/>
  <c r="F19" i="3"/>
  <c r="Y19" i="3"/>
  <c r="C14" i="3"/>
  <c r="F14" i="3"/>
  <c r="K14" i="3"/>
  <c r="C20" i="4"/>
  <c r="E16" i="4"/>
  <c r="F20" i="4"/>
  <c r="S30" i="4"/>
  <c r="Y30" i="4" s="1"/>
  <c r="S33" i="4"/>
  <c r="Y33" i="4" s="1"/>
  <c r="C15" i="5"/>
  <c r="D18" i="6"/>
  <c r="G18" i="6"/>
  <c r="C14" i="7"/>
  <c r="D17" i="7"/>
  <c r="F14" i="7"/>
  <c r="G17" i="7"/>
  <c r="D14" i="4"/>
  <c r="E17" i="4"/>
  <c r="G14" i="4"/>
  <c r="D18" i="7"/>
  <c r="G18" i="7"/>
  <c r="E18" i="4"/>
  <c r="C17" i="5"/>
  <c r="E14" i="5"/>
  <c r="F17" i="5"/>
  <c r="C16" i="6"/>
  <c r="D20" i="6"/>
  <c r="F16" i="6"/>
  <c r="G20" i="6"/>
  <c r="C15" i="7"/>
  <c r="D19" i="7"/>
  <c r="F15" i="7"/>
  <c r="G19" i="7"/>
  <c r="F16" i="3"/>
  <c r="K16" i="3"/>
  <c r="D15" i="4"/>
  <c r="E19" i="4"/>
  <c r="G15" i="4"/>
  <c r="C18" i="5"/>
  <c r="C17" i="6"/>
  <c r="E14" i="6"/>
  <c r="F17" i="6"/>
  <c r="C16" i="7"/>
  <c r="F16" i="7"/>
  <c r="D16" i="4"/>
  <c r="G16" i="4"/>
  <c r="Y23" i="4"/>
  <c r="S29" i="4"/>
  <c r="Y29" i="4" s="1"/>
  <c r="S32" i="4"/>
  <c r="Y32" i="4" s="1"/>
  <c r="C19" i="5"/>
  <c r="C18" i="6"/>
  <c r="F18" i="6"/>
  <c r="C17" i="7"/>
  <c r="E14" i="7"/>
  <c r="F17" i="7"/>
  <c r="K15" i="3"/>
  <c r="K18" i="3"/>
  <c r="Y21" i="3"/>
  <c r="C14" i="4"/>
  <c r="D17" i="4"/>
  <c r="F14" i="4"/>
  <c r="G17" i="4"/>
  <c r="C19" i="6"/>
  <c r="C18" i="7"/>
  <c r="F18" i="7"/>
  <c r="G18" i="4"/>
  <c r="E17" i="5"/>
  <c r="E16" i="6"/>
  <c r="C19" i="7"/>
  <c r="E15" i="7"/>
  <c r="F19" i="7"/>
  <c r="C47" i="3" l="1"/>
  <c r="B47" i="3" s="1"/>
  <c r="M44" i="3"/>
</calcChain>
</file>

<file path=xl/sharedStrings.xml><?xml version="1.0" encoding="utf-8"?>
<sst xmlns="http://schemas.openxmlformats.org/spreadsheetml/2006/main" count="537" uniqueCount="97">
  <si>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</si>
  <si>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</si>
  <si>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</si>
  <si>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</si>
  <si>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</si>
  <si>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</si>
  <si>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</si>
  <si>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</si>
  <si>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</si>
  <si>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</si>
  <si>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</si>
  <si>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</si>
  <si>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</si>
  <si>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</si>
  <si>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</si>
  <si>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</si>
  <si>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</si>
  <si>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</si>
  <si>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</si>
  <si>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</si>
  <si>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</si>
  <si>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</si>
  <si>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</si>
  <si>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</si>
  <si>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</si>
  <si>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</si>
  <si>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</si>
  <si>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</si>
  <si>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Users</t>
  </si>
  <si>
    <t>Utility Function</t>
  </si>
  <si>
    <t>0,062x1+ 0,260x2+ 0,435x3+ 0,107x4+ 0,102x5+ -0,256x6</t>
  </si>
  <si>
    <t>0,126x1+ 0,073x2+ 0,148x3+ 0,291x4+ 0,108x5+ -0,114x6</t>
  </si>
  <si>
    <t>0,061x1+ 0,067x2+ 0,365x3+ 0,129x4+ 0,125x5+ -0,216x6</t>
  </si>
  <si>
    <t>0,192x1+ 0,097x2+ 0,117x3+ 0,107x4+ 0,102x5+ -0,279x6</t>
  </si>
  <si>
    <t>0,297x1+ 0,091x2+ 0,610x3+ 0,189x4+ 0,102x5+ -0,296x6</t>
  </si>
  <si>
    <t>0,064x1+ 0,155x2+ 0,395x3+ 0,170x4+ 0,102x5+ -0,293x6</t>
  </si>
  <si>
    <t>0,104x1+ 0,190x2+ 0,240x3+ 0,278x4+ 0,119x5+ -0,104x6</t>
  </si>
  <si>
    <t>0,120x1+ 0,161x2+ 0,449x3+ 0,170x4+ 0,275x5+ -0,168x6</t>
  </si>
  <si>
    <t>0,122x1+ 0,170x2+ 0,289x3+ 0,249x4+ 0,251x5+ -0,170x6</t>
  </si>
  <si>
    <t>0,057x1+ 0,144x2+ 0,117x3+ 0,183x4+ 0,102x5+ -0,108x6</t>
  </si>
  <si>
    <t>0,061x1+ 0,107x2+ 0,117x3+ 0,291x4+ 0,102x5+ -0,110x6</t>
  </si>
  <si>
    <t>0,195x1+ 0,073x2+ 0,117x3+ 0,319x4+ 0,102x5+ -0,101x6</t>
  </si>
  <si>
    <t>0,051x1+ 0,255x2+ 0,610x3+ 0,248x4+ 0,288x5+ -0,264x6</t>
  </si>
  <si>
    <t>0,282x1+ 0,073x2+ 0,117x3+ 0,103x4+ 0,113x5+ -0,102x6</t>
  </si>
  <si>
    <t>0,257x1+ 0,255x2+ 0,171x3+ 0,242x4+ 0,102x5+ -0,104x6</t>
  </si>
  <si>
    <t>0,105x1+ 0,267x2+ 0,424x3+ 0,107x4+ 0,102x5+ -0,104x6</t>
  </si>
  <si>
    <t>0,085x1+ 0,122x2+ 0,435x3+ 0,324x4+ 0,102x5+ -0,138x6</t>
  </si>
  <si>
    <t>0,281x1+ 0,054x2+ 0,612x3+ 0,107x4+ 0,153x5+ -0,104x6</t>
  </si>
  <si>
    <t>0,118x1+ 0,205x2+ 0,117x3+ 0,107x4+ 0,102x5+ -0,271x6</t>
  </si>
  <si>
    <t>0,282x1+ 0,065x2+ 0,584x3+ 0,286x4+ 0,167x5+ -0,160x6</t>
  </si>
  <si>
    <t>Q1. Equal Weights</t>
  </si>
  <si>
    <t>Q2. Different Weights</t>
  </si>
  <si>
    <t>Q1. Min Cost&amp; Enve&amp;Social Risk</t>
  </si>
  <si>
    <t xml:space="preserve">Q2. Max Improvement 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</si>
  <si>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</si>
  <si>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</si>
  <si>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</si>
  <si>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</si>
  <si>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</si>
  <si>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</si>
  <si>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</si>
  <si>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Policy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</si>
  <si>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</si>
  <si>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</si>
  <si>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</si>
  <si>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</si>
  <si>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</si>
  <si>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</si>
  <si>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</si>
  <si>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</si>
  <si>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</si>
  <si>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</si>
  <si>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</si>
  <si>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</si>
  <si>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Effective Cost</t>
  </si>
  <si>
    <t>Supplier/User</t>
  </si>
  <si>
    <t>Total</t>
  </si>
  <si>
    <t>User Utilities</t>
  </si>
  <si>
    <t>Best Utility Supplier</t>
  </si>
  <si>
    <t>Selling Price</t>
  </si>
  <si>
    <t>Min Cost Supplier</t>
  </si>
  <si>
    <t>Total Cost</t>
  </si>
  <si>
    <t>Model</t>
  </si>
  <si>
    <t>Objective</t>
  </si>
  <si>
    <t xml:space="preserve">Number of Matches </t>
  </si>
  <si>
    <t>Utility Threshold</t>
  </si>
  <si>
    <t>Penalty1</t>
  </si>
  <si>
    <t>Penalty2</t>
  </si>
  <si>
    <t>Notes</t>
  </si>
  <si>
    <t>Ideal supplier.</t>
  </si>
  <si>
    <t>Good supplier with no compliance issues, but too costly.</t>
  </si>
  <si>
    <t>Need to add requirements for child labor.</t>
  </si>
  <si>
    <t>Need to add requirements for banned chemicals.</t>
  </si>
  <si>
    <t>E/B</t>
  </si>
  <si>
    <t>Can choose work on quality problems instead of A or C.</t>
  </si>
  <si>
    <t>High risk and suspected both child labor and banned chemicals.</t>
  </si>
  <si>
    <t>Price 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</si>
</sst>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0" tint="-0.14999847407452621"/>
        <bgColor indexed="6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6" fillId="0" borderId="0" xfId="0" applyFont="1"/>
    <xf numFmtId="0" fontId="6" fillId="0" borderId="1" xfId="0" applyFont="1" applyBorder="1"/>
    <xf numFmtId="0" fontId="6" fillId="0" borderId="4" xfId="0" applyFont="1" applyBorder="1"/>
    <xf numFmtId="0" fontId="4" fillId="11" borderId="1" xfId="0" applyFont="1" applyFill="1" applyBorder="1"/>
    <xf numFmtId="0" fontId="7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9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2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5" fillId="2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11" xfId="0" applyBorder="1"/>
    <xf numFmtId="0" fontId="0" fillId="4" borderId="1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2" borderId="12" xfId="0" applyFont="1" applyFill="1" applyBorder="1" applyAlignment="1">
      <alignment horizontal="center" vertical="center" wrapText="1"/>
    </xf>
    <xf numFmtId="0" fontId="0" fillId="0" borderId="0" xfId="0"/>
    <xf numFmtId="0" fontId="0" fillId="0" borderId="12" xfId="0" applyBorder="1"/>
    <xf numFmtId="0" fontId="5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workbookViewId="0">
      <selection activeCell="D16" sqref="D16"/>
    </sheetView>
  </sheetViews>
  <sheetFormatPr defaultRowHeight="14.4" x14ac:dyDescent="0.3"/>
  <cols>
    <col min="6" max="6" width="20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s="55">
        <v>2.4119999999999999</v>
      </c>
      <c r="C2" s="55">
        <v>4.3710000000000004</v>
      </c>
      <c r="D2" s="55">
        <v>2.4569999999999999</v>
      </c>
      <c r="E2" s="55">
        <v>1.9430000000000001</v>
      </c>
      <c r="F2" s="55">
        <v>3</v>
      </c>
      <c r="G2" s="56">
        <v>0</v>
      </c>
      <c r="H2" s="56">
        <v>1</v>
      </c>
      <c r="I2" s="56">
        <v>1</v>
      </c>
      <c r="J2" s="55">
        <v>13.183999999999999</v>
      </c>
    </row>
    <row r="3" spans="1:10" x14ac:dyDescent="0.3">
      <c r="A3" t="s">
        <v>11</v>
      </c>
      <c r="B3" s="55">
        <v>4.056</v>
      </c>
      <c r="C3" s="55">
        <v>1.33</v>
      </c>
      <c r="D3" s="55">
        <v>4.8390000000000004</v>
      </c>
      <c r="E3" s="55">
        <v>1.0640000000000001</v>
      </c>
      <c r="F3" s="55">
        <v>4</v>
      </c>
      <c r="G3" s="56">
        <v>0</v>
      </c>
      <c r="H3" s="56">
        <v>0</v>
      </c>
      <c r="I3" s="56">
        <v>0</v>
      </c>
      <c r="J3" s="55">
        <v>15.289</v>
      </c>
    </row>
    <row r="4" spans="1:10" x14ac:dyDescent="0.3">
      <c r="A4" t="s">
        <v>12</v>
      </c>
      <c r="B4" s="55">
        <v>4.1349999999999998</v>
      </c>
      <c r="C4" s="55">
        <v>4.3710000000000004</v>
      </c>
      <c r="D4" s="55">
        <v>2.8980000000000001</v>
      </c>
      <c r="E4" s="55">
        <v>2.4159999999999999</v>
      </c>
      <c r="F4" s="55">
        <v>1.0980000000000001</v>
      </c>
      <c r="G4" s="56">
        <v>0</v>
      </c>
      <c r="H4" s="56">
        <v>0</v>
      </c>
      <c r="I4" s="56">
        <v>0</v>
      </c>
      <c r="J4" s="55">
        <v>18.82</v>
      </c>
    </row>
    <row r="5" spans="1:10" x14ac:dyDescent="0.3">
      <c r="A5" t="s">
        <v>13</v>
      </c>
      <c r="B5" s="55">
        <v>3.5910000000000002</v>
      </c>
      <c r="C5" s="55">
        <v>1.629</v>
      </c>
      <c r="D5" s="55">
        <v>2.6219999999999999</v>
      </c>
      <c r="E5" s="55">
        <v>1.01</v>
      </c>
      <c r="F5" s="55">
        <v>2.823</v>
      </c>
      <c r="G5" s="56">
        <v>0</v>
      </c>
      <c r="H5" s="56">
        <v>1</v>
      </c>
      <c r="I5" s="56">
        <v>0</v>
      </c>
      <c r="J5" s="55">
        <v>10.851000000000001</v>
      </c>
    </row>
    <row r="6" spans="1:10" x14ac:dyDescent="0.3">
      <c r="A6" t="s">
        <v>14</v>
      </c>
      <c r="B6" s="55">
        <v>1.7050000000000001</v>
      </c>
      <c r="C6" s="55">
        <v>4.3710000000000004</v>
      </c>
      <c r="D6" s="55">
        <v>2.9670000000000001</v>
      </c>
      <c r="E6" s="55">
        <v>2.0790000000000002</v>
      </c>
      <c r="F6" s="55">
        <v>5</v>
      </c>
      <c r="G6" s="56">
        <v>0</v>
      </c>
      <c r="H6" s="56">
        <v>1</v>
      </c>
      <c r="I6" s="56">
        <v>1</v>
      </c>
      <c r="J6" s="55">
        <v>16.122</v>
      </c>
    </row>
    <row r="7" spans="1:10" x14ac:dyDescent="0.3">
      <c r="A7" t="s">
        <v>15</v>
      </c>
      <c r="B7" s="55">
        <v>1.147</v>
      </c>
      <c r="C7" s="55">
        <v>3.887</v>
      </c>
      <c r="D7" s="55">
        <v>2.8980000000000001</v>
      </c>
      <c r="E7" s="55">
        <v>1.9950000000000001</v>
      </c>
      <c r="F7" s="55">
        <v>3.234</v>
      </c>
      <c r="G7" s="56">
        <v>1</v>
      </c>
      <c r="H7" s="56">
        <v>0</v>
      </c>
      <c r="I7" s="56">
        <v>0</v>
      </c>
      <c r="J7" s="55">
        <v>14.927</v>
      </c>
    </row>
    <row r="8" spans="1:10" x14ac:dyDescent="0.3">
      <c r="A8" t="s">
        <v>16</v>
      </c>
      <c r="B8" s="55">
        <v>2.7050000000000001</v>
      </c>
      <c r="C8" s="55">
        <v>2.927</v>
      </c>
      <c r="D8" s="55">
        <v>2.222</v>
      </c>
      <c r="E8" s="55">
        <v>1.796</v>
      </c>
      <c r="F8" s="55">
        <v>4.7770000000000001</v>
      </c>
      <c r="G8" s="56">
        <v>0</v>
      </c>
      <c r="H8" s="56">
        <v>1</v>
      </c>
      <c r="I8" s="56">
        <v>0</v>
      </c>
      <c r="J8" s="55">
        <v>12.97</v>
      </c>
    </row>
    <row r="9" spans="1:10" x14ac:dyDescent="0.3">
      <c r="A9" t="s">
        <v>17</v>
      </c>
      <c r="B9" s="55">
        <v>1.208</v>
      </c>
      <c r="C9" s="55">
        <v>4.8710000000000004</v>
      </c>
      <c r="D9" s="55">
        <v>1.069</v>
      </c>
      <c r="E9" s="55">
        <v>2.516</v>
      </c>
      <c r="F9" s="55">
        <v>3.234</v>
      </c>
      <c r="G9" s="56">
        <v>1</v>
      </c>
      <c r="H9" s="56">
        <v>0</v>
      </c>
      <c r="I9" s="56">
        <v>0</v>
      </c>
      <c r="J9" s="55">
        <v>14.163</v>
      </c>
    </row>
    <row r="10" spans="1:10" x14ac:dyDescent="0.3">
      <c r="A10" t="s">
        <v>18</v>
      </c>
      <c r="B10" s="55">
        <v>1.2490000000000001</v>
      </c>
      <c r="C10" s="55">
        <v>3.6179999999999999</v>
      </c>
      <c r="D10" s="55">
        <v>3.0640000000000001</v>
      </c>
      <c r="E10" s="55">
        <v>2.323</v>
      </c>
      <c r="F10" s="55">
        <v>4.0999999999999996</v>
      </c>
      <c r="G10" s="56">
        <v>0</v>
      </c>
      <c r="H10" s="56">
        <v>0</v>
      </c>
      <c r="I10" s="56">
        <v>0</v>
      </c>
      <c r="J10" s="55">
        <v>10.255000000000001</v>
      </c>
    </row>
    <row r="11" spans="1:10" x14ac:dyDescent="0.3">
      <c r="A11" t="s">
        <v>19</v>
      </c>
      <c r="B11" s="55">
        <v>4.056</v>
      </c>
      <c r="C11" s="55">
        <v>1.218</v>
      </c>
      <c r="D11" s="55">
        <v>2.6219999999999999</v>
      </c>
      <c r="E11" s="55">
        <v>4.6269999999999998</v>
      </c>
      <c r="F11" s="55">
        <v>3.21</v>
      </c>
      <c r="G11" s="56">
        <v>1</v>
      </c>
      <c r="H11" s="56">
        <v>1</v>
      </c>
      <c r="I11" s="56">
        <v>0</v>
      </c>
      <c r="J11" s="55">
        <v>14.522</v>
      </c>
    </row>
    <row r="12" spans="1:10" x14ac:dyDescent="0.3">
      <c r="A12" t="s">
        <v>20</v>
      </c>
      <c r="B12" s="55">
        <v>4.056</v>
      </c>
      <c r="C12" s="55">
        <v>3.589</v>
      </c>
      <c r="D12" s="55">
        <v>2.3079999999999998</v>
      </c>
      <c r="E12" s="55">
        <v>1.861</v>
      </c>
      <c r="F12" s="55">
        <v>1.19</v>
      </c>
      <c r="G12" s="56">
        <v>1</v>
      </c>
      <c r="H12" s="56">
        <v>1</v>
      </c>
      <c r="I12" s="56">
        <v>1</v>
      </c>
      <c r="J12" s="55">
        <v>13.813000000000001</v>
      </c>
    </row>
    <row r="13" spans="1:10" x14ac:dyDescent="0.3">
      <c r="A13" t="s">
        <v>21</v>
      </c>
      <c r="B13" s="55">
        <v>4.056</v>
      </c>
      <c r="C13" s="55">
        <v>1.6279999999999999</v>
      </c>
      <c r="D13" s="55">
        <v>1.458</v>
      </c>
      <c r="E13" s="55">
        <v>3.0529999999999999</v>
      </c>
      <c r="F13" s="55">
        <v>1.234</v>
      </c>
      <c r="G13" s="56">
        <v>0</v>
      </c>
      <c r="H13" s="56">
        <v>1</v>
      </c>
      <c r="I13" s="56">
        <v>1</v>
      </c>
      <c r="J13" s="55">
        <v>11.195</v>
      </c>
    </row>
    <row r="14" spans="1:10" x14ac:dyDescent="0.3">
      <c r="A14" t="s">
        <v>22</v>
      </c>
      <c r="B14" s="55">
        <v>1.014</v>
      </c>
      <c r="C14" s="55">
        <v>4.3710000000000004</v>
      </c>
      <c r="D14" s="55">
        <v>2.1389999999999998</v>
      </c>
      <c r="E14" s="55">
        <v>1.657</v>
      </c>
      <c r="F14" s="55">
        <v>4.12</v>
      </c>
      <c r="G14" s="56">
        <v>0</v>
      </c>
      <c r="H14" s="56">
        <v>0</v>
      </c>
      <c r="I14" s="56">
        <v>1</v>
      </c>
      <c r="J14" s="55">
        <v>11.151</v>
      </c>
    </row>
    <row r="15" spans="1:10" x14ac:dyDescent="0.3">
      <c r="A15" t="s">
        <v>23</v>
      </c>
      <c r="B15" s="55">
        <v>3.5779999999999998</v>
      </c>
      <c r="C15" s="55">
        <v>1.006</v>
      </c>
      <c r="D15" s="55">
        <v>4.9989999999999997</v>
      </c>
      <c r="E15" s="55">
        <v>1.3029999999999999</v>
      </c>
      <c r="F15" s="55">
        <v>2</v>
      </c>
      <c r="G15" s="56">
        <v>1</v>
      </c>
      <c r="H15" s="56">
        <v>0</v>
      </c>
      <c r="I15" s="56">
        <v>0</v>
      </c>
      <c r="J15" s="55">
        <v>12.885</v>
      </c>
    </row>
    <row r="16" spans="1:10" x14ac:dyDescent="0.3">
      <c r="A16" t="s">
        <v>24</v>
      </c>
      <c r="B16" s="55">
        <v>1.4790000000000001</v>
      </c>
      <c r="C16" s="55">
        <v>4.3710000000000004</v>
      </c>
      <c r="D16" s="55">
        <v>2.1509999999999998</v>
      </c>
      <c r="E16" s="55">
        <v>1.405</v>
      </c>
      <c r="F16" s="55">
        <v>4.4000000000000004</v>
      </c>
      <c r="G16" s="56">
        <v>1</v>
      </c>
      <c r="H16" s="56">
        <v>0</v>
      </c>
      <c r="I16" s="56">
        <v>0</v>
      </c>
      <c r="J16" s="55">
        <v>13.406000000000001</v>
      </c>
    </row>
    <row r="17" spans="1:10" x14ac:dyDescent="0.3">
      <c r="A17" t="s">
        <v>25</v>
      </c>
      <c r="B17" s="55">
        <v>2.4550000000000001</v>
      </c>
      <c r="C17" s="55">
        <v>1.577</v>
      </c>
      <c r="D17" s="55">
        <v>1.133</v>
      </c>
      <c r="E17" s="55">
        <v>3.6720000000000002</v>
      </c>
      <c r="F17" s="55">
        <v>2</v>
      </c>
      <c r="G17" s="56">
        <v>0</v>
      </c>
      <c r="H17" s="56">
        <v>0</v>
      </c>
      <c r="I17" s="56">
        <v>1</v>
      </c>
      <c r="J17" s="55">
        <v>10.837999999999999</v>
      </c>
    </row>
    <row r="18" spans="1:10" x14ac:dyDescent="0.3">
      <c r="A18" t="s">
        <v>26</v>
      </c>
      <c r="B18" s="55">
        <v>1.546</v>
      </c>
      <c r="C18" s="55">
        <v>4.9429999999999996</v>
      </c>
      <c r="D18" s="55">
        <v>2.8980000000000001</v>
      </c>
      <c r="E18" s="55">
        <v>1.806</v>
      </c>
      <c r="F18" s="55">
        <v>2.234</v>
      </c>
      <c r="G18" s="56">
        <v>1</v>
      </c>
      <c r="H18" s="56">
        <v>0</v>
      </c>
      <c r="I18" s="56">
        <v>1</v>
      </c>
      <c r="J18" s="55">
        <v>13.193</v>
      </c>
    </row>
    <row r="19" spans="1:10" x14ac:dyDescent="0.3">
      <c r="A19" t="s">
        <v>27</v>
      </c>
      <c r="B19" s="55">
        <v>4.8540000000000001</v>
      </c>
      <c r="C19" s="55">
        <v>2.3E-2</v>
      </c>
      <c r="D19" s="55">
        <v>4.9640000000000004</v>
      </c>
      <c r="E19" s="55">
        <v>3.8740000000000001</v>
      </c>
      <c r="F19" s="55">
        <v>0.23400000000000001</v>
      </c>
      <c r="G19" s="56">
        <v>1</v>
      </c>
      <c r="H19" s="56">
        <v>0</v>
      </c>
      <c r="I19" s="56">
        <v>0</v>
      </c>
      <c r="J19" s="55">
        <v>19.715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tabSelected="1" workbookViewId="0">
      <selection activeCell="D1" sqref="D1"/>
    </sheetView>
  </sheetViews>
  <sheetFormatPr defaultRowHeight="14.4" x14ac:dyDescent="0.3"/>
  <cols>
    <col min="8" max="8" width="39.6640625" customWidth="1"/>
  </cols>
  <sheetData>
    <row r="1" spans="1:8" ht="33.15" customHeight="1" x14ac:dyDescent="0.3">
      <c r="A1" s="42" t="s">
        <v>28</v>
      </c>
      <c r="B1" s="15" t="s">
        <v>1</v>
      </c>
      <c r="C1" s="15" t="s">
        <v>2</v>
      </c>
      <c r="D1" s="15" t="s">
        <v>96</v>
      </c>
      <c r="E1" s="15" t="s">
        <v>4</v>
      </c>
      <c r="F1" s="15" t="s">
        <v>5</v>
      </c>
      <c r="G1" s="17" t="s">
        <v>8</v>
      </c>
      <c r="H1" s="15" t="s">
        <v>29</v>
      </c>
    </row>
    <row r="2" spans="1:8" x14ac:dyDescent="0.3">
      <c r="A2" s="43">
        <v>1</v>
      </c>
      <c r="B2" s="53">
        <v>6.2008630366313218E-2</v>
      </c>
      <c r="C2" s="53">
        <v>0.26040571421757103</v>
      </c>
      <c r="D2" s="53">
        <v>0.43524476184674188</v>
      </c>
      <c r="E2" s="53">
        <v>0.1067200194772385</v>
      </c>
      <c r="F2" s="53">
        <v>0.10155365833498819</v>
      </c>
      <c r="G2" s="54">
        <v>0.2560017363633072</v>
      </c>
      <c r="H2" s="1" t="s">
        <v>30</v>
      </c>
    </row>
    <row r="3" spans="1:8" x14ac:dyDescent="0.3">
      <c r="A3" s="43">
        <v>2</v>
      </c>
      <c r="B3" s="53">
        <v>0.1262867946106227</v>
      </c>
      <c r="C3" s="53">
        <v>7.3418276193979989E-2</v>
      </c>
      <c r="D3" s="53">
        <v>0.14790607253205079</v>
      </c>
      <c r="E3" s="53">
        <v>0.29100442200694832</v>
      </c>
      <c r="F3" s="53">
        <v>0.108246470664996</v>
      </c>
      <c r="G3" s="54">
        <v>0.1139929232648282</v>
      </c>
      <c r="H3" s="1" t="s">
        <v>31</v>
      </c>
    </row>
    <row r="4" spans="1:8" x14ac:dyDescent="0.3">
      <c r="A4" s="43">
        <v>3</v>
      </c>
      <c r="B4" s="53">
        <v>6.067934013561796E-2</v>
      </c>
      <c r="C4" s="53">
        <v>6.6813196513184861E-2</v>
      </c>
      <c r="D4" s="53">
        <v>0.36495054503131058</v>
      </c>
      <c r="E4" s="53">
        <v>0.12896323351417149</v>
      </c>
      <c r="F4" s="53">
        <v>0.12518162852531989</v>
      </c>
      <c r="G4" s="54">
        <v>0.21570645620864939</v>
      </c>
      <c r="H4" s="1" t="s">
        <v>32</v>
      </c>
    </row>
    <row r="5" spans="1:8" x14ac:dyDescent="0.3">
      <c r="A5" s="43">
        <v>4</v>
      </c>
      <c r="B5" s="53">
        <v>0.19188915259436859</v>
      </c>
      <c r="C5" s="53">
        <v>9.6546504644227593E-2</v>
      </c>
      <c r="D5" s="53">
        <v>0.1173714689098652</v>
      </c>
      <c r="E5" s="53">
        <v>0.1067200194772385</v>
      </c>
      <c r="F5" s="53">
        <v>0.10155365833498819</v>
      </c>
      <c r="G5" s="54">
        <v>0.27864380253183429</v>
      </c>
      <c r="H5" s="1" t="s">
        <v>33</v>
      </c>
    </row>
    <row r="6" spans="1:8" x14ac:dyDescent="0.3">
      <c r="A6" s="43">
        <v>5</v>
      </c>
      <c r="B6" s="53">
        <v>0.29731528292090348</v>
      </c>
      <c r="C6" s="53">
        <v>9.1150810219638279E-2</v>
      </c>
      <c r="D6" s="53">
        <v>0.61026173707464948</v>
      </c>
      <c r="E6" s="53">
        <v>0.18945464506061421</v>
      </c>
      <c r="F6" s="53">
        <v>0.10155365833498819</v>
      </c>
      <c r="G6" s="54">
        <v>0.29588315318380942</v>
      </c>
      <c r="H6" s="1" t="s">
        <v>34</v>
      </c>
    </row>
    <row r="7" spans="1:8" x14ac:dyDescent="0.3">
      <c r="A7" s="43">
        <v>6</v>
      </c>
      <c r="B7" s="53">
        <v>6.4227033173094625E-2</v>
      </c>
      <c r="C7" s="53">
        <v>0.15483029452809721</v>
      </c>
      <c r="D7" s="53">
        <v>0.39507948585385322</v>
      </c>
      <c r="E7" s="53">
        <v>0.16962970966432209</v>
      </c>
      <c r="F7" s="53">
        <v>0.10155365833498819</v>
      </c>
      <c r="G7" s="54">
        <v>0.29345450745565288</v>
      </c>
      <c r="H7" s="1" t="s">
        <v>35</v>
      </c>
    </row>
    <row r="8" spans="1:8" x14ac:dyDescent="0.3">
      <c r="A8" s="43">
        <v>7</v>
      </c>
      <c r="B8" s="53">
        <v>0.1039433720356735</v>
      </c>
      <c r="C8" s="53">
        <v>0.19024045650357649</v>
      </c>
      <c r="D8" s="53">
        <v>0.24034996285317831</v>
      </c>
      <c r="E8" s="53">
        <v>0.27804323994842262</v>
      </c>
      <c r="F8" s="53">
        <v>0.119152078029859</v>
      </c>
      <c r="G8" s="54">
        <v>0.1037612453176729</v>
      </c>
      <c r="H8" s="1" t="s">
        <v>36</v>
      </c>
    </row>
    <row r="9" spans="1:8" x14ac:dyDescent="0.3">
      <c r="A9" s="43">
        <v>8</v>
      </c>
      <c r="B9" s="53">
        <v>0.1202053717041603</v>
      </c>
      <c r="C9" s="53">
        <v>0.16109848730107321</v>
      </c>
      <c r="D9" s="53">
        <v>0.44893726307541931</v>
      </c>
      <c r="E9" s="53">
        <v>0.17008933186008149</v>
      </c>
      <c r="F9" s="53">
        <v>0.27528967563063772</v>
      </c>
      <c r="G9" s="54">
        <v>0.16758907375405899</v>
      </c>
      <c r="H9" s="1" t="s">
        <v>37</v>
      </c>
    </row>
    <row r="10" spans="1:8" x14ac:dyDescent="0.3">
      <c r="A10" s="43">
        <v>9</v>
      </c>
      <c r="B10" s="53">
        <v>0.1216495133482835</v>
      </c>
      <c r="C10" s="53">
        <v>0.16985306196136299</v>
      </c>
      <c r="D10" s="53">
        <v>0.28856355425735408</v>
      </c>
      <c r="E10" s="53">
        <v>0.24861374555913729</v>
      </c>
      <c r="F10" s="53">
        <v>0.25064404411660468</v>
      </c>
      <c r="G10" s="54">
        <v>0.16999576138077049</v>
      </c>
      <c r="H10" s="1" t="s">
        <v>38</v>
      </c>
    </row>
    <row r="11" spans="1:8" x14ac:dyDescent="0.3">
      <c r="A11" s="43">
        <v>10</v>
      </c>
      <c r="B11" s="53">
        <v>5.6765667715111448E-2</v>
      </c>
      <c r="C11" s="53">
        <v>0.14383486573349161</v>
      </c>
      <c r="D11" s="53">
        <v>0.1173714689098652</v>
      </c>
      <c r="E11" s="53">
        <v>0.183331251224816</v>
      </c>
      <c r="F11" s="53">
        <v>0.10155365833498819</v>
      </c>
      <c r="G11" s="54">
        <v>0.10840881707564209</v>
      </c>
      <c r="H11" s="1" t="s">
        <v>39</v>
      </c>
    </row>
    <row r="12" spans="1:8" x14ac:dyDescent="0.3">
      <c r="A12" s="43">
        <v>11</v>
      </c>
      <c r="B12" s="53">
        <v>6.067934013561796E-2</v>
      </c>
      <c r="C12" s="53">
        <v>0.10691631099167261</v>
      </c>
      <c r="D12" s="53">
        <v>0.1173714689098652</v>
      </c>
      <c r="E12" s="53">
        <v>0.29128321359242249</v>
      </c>
      <c r="F12" s="53">
        <v>0.10155365833498819</v>
      </c>
      <c r="G12" s="54">
        <v>0.1096077760804178</v>
      </c>
      <c r="H12" s="1" t="s">
        <v>40</v>
      </c>
    </row>
    <row r="13" spans="1:8" x14ac:dyDescent="0.3">
      <c r="A13" s="43">
        <v>12</v>
      </c>
      <c r="B13" s="53">
        <v>0.19511378053770029</v>
      </c>
      <c r="C13" s="53">
        <v>7.3418276193979989E-2</v>
      </c>
      <c r="D13" s="53">
        <v>0.1173714689098652</v>
      </c>
      <c r="E13" s="53">
        <v>0.31938813314298031</v>
      </c>
      <c r="F13" s="53">
        <v>0.10155365833498819</v>
      </c>
      <c r="G13" s="54">
        <v>0.100629661763317</v>
      </c>
      <c r="H13" s="1" t="s">
        <v>41</v>
      </c>
    </row>
    <row r="14" spans="1:8" x14ac:dyDescent="0.3">
      <c r="A14" s="43">
        <v>13</v>
      </c>
      <c r="B14" s="53">
        <v>5.133819847534786E-2</v>
      </c>
      <c r="C14" s="53">
        <v>0.25457641457483893</v>
      </c>
      <c r="D14" s="53">
        <v>0.61026173707464948</v>
      </c>
      <c r="E14" s="53">
        <v>0.24824483374410089</v>
      </c>
      <c r="F14" s="53">
        <v>0.2881274398577503</v>
      </c>
      <c r="G14" s="54">
        <v>0.26426915998857842</v>
      </c>
      <c r="H14" s="1" t="s">
        <v>42</v>
      </c>
    </row>
    <row r="15" spans="1:8" x14ac:dyDescent="0.3">
      <c r="A15" s="43">
        <v>14</v>
      </c>
      <c r="B15" s="53">
        <v>0.28227114589511132</v>
      </c>
      <c r="C15" s="53">
        <v>7.3418276193979989E-2</v>
      </c>
      <c r="D15" s="53">
        <v>0.1173714689098652</v>
      </c>
      <c r="E15" s="53">
        <v>0.102500150077396</v>
      </c>
      <c r="F15" s="53">
        <v>0.1127673895923734</v>
      </c>
      <c r="G15" s="54">
        <v>0.1020081514064624</v>
      </c>
      <c r="H15" s="1" t="s">
        <v>43</v>
      </c>
    </row>
    <row r="16" spans="1:8" x14ac:dyDescent="0.3">
      <c r="A16" s="43">
        <v>15</v>
      </c>
      <c r="B16" s="53">
        <v>0.25691282528883602</v>
      </c>
      <c r="C16" s="53">
        <v>0.25457641457483893</v>
      </c>
      <c r="D16" s="53">
        <v>0.1712656406045957</v>
      </c>
      <c r="E16" s="53">
        <v>0.24206895072120549</v>
      </c>
      <c r="F16" s="53">
        <v>0.10155365833498819</v>
      </c>
      <c r="G16" s="54">
        <v>0.1037612453176729</v>
      </c>
      <c r="H16" s="1" t="s">
        <v>44</v>
      </c>
    </row>
    <row r="17" spans="1:8" x14ac:dyDescent="0.3">
      <c r="A17" s="43">
        <v>16</v>
      </c>
      <c r="B17" s="53">
        <v>0.10536952724685961</v>
      </c>
      <c r="C17" s="53">
        <v>0.26693912830951111</v>
      </c>
      <c r="D17" s="53">
        <v>0.42418990241855742</v>
      </c>
      <c r="E17" s="53">
        <v>0.1067200194772385</v>
      </c>
      <c r="F17" s="53">
        <v>0.10155365833498819</v>
      </c>
      <c r="G17" s="54">
        <v>0.1037612453176729</v>
      </c>
      <c r="H17" s="1" t="s">
        <v>45</v>
      </c>
    </row>
    <row r="18" spans="1:8" x14ac:dyDescent="0.3">
      <c r="A18" s="43">
        <v>17</v>
      </c>
      <c r="B18" s="53">
        <v>8.4653338407399248E-2</v>
      </c>
      <c r="C18" s="53">
        <v>0.12208818407051721</v>
      </c>
      <c r="D18" s="53">
        <v>0.43518862071605141</v>
      </c>
      <c r="E18" s="53">
        <v>0.32446059664501697</v>
      </c>
      <c r="F18" s="53">
        <v>0.10155365833498819</v>
      </c>
      <c r="G18" s="54">
        <v>0.13823591172591559</v>
      </c>
      <c r="H18" s="1" t="s">
        <v>46</v>
      </c>
    </row>
    <row r="19" spans="1:8" x14ac:dyDescent="0.3">
      <c r="A19" s="43">
        <v>18</v>
      </c>
      <c r="B19" s="53">
        <v>0.28141826864260022</v>
      </c>
      <c r="C19" s="53">
        <v>5.4450791916772837E-2</v>
      </c>
      <c r="D19" s="53">
        <v>0.61191053879833257</v>
      </c>
      <c r="E19" s="53">
        <v>0.1067200194772385</v>
      </c>
      <c r="F19" s="53">
        <v>0.15265196352286331</v>
      </c>
      <c r="G19" s="54">
        <v>0.1037612453176729</v>
      </c>
      <c r="H19" s="1" t="s">
        <v>47</v>
      </c>
    </row>
    <row r="20" spans="1:8" x14ac:dyDescent="0.3">
      <c r="A20" s="43">
        <v>19</v>
      </c>
      <c r="B20" s="53">
        <v>0.1184919934586543</v>
      </c>
      <c r="C20" s="53">
        <v>0.2048960971299689</v>
      </c>
      <c r="D20" s="53">
        <v>0.1173714689098652</v>
      </c>
      <c r="E20" s="53">
        <v>0.1067200194772385</v>
      </c>
      <c r="F20" s="53">
        <v>0.10155365833498819</v>
      </c>
      <c r="G20" s="54">
        <v>0.27114700608346642</v>
      </c>
      <c r="H20" s="1" t="s">
        <v>48</v>
      </c>
    </row>
    <row r="21" spans="1:8" x14ac:dyDescent="0.3">
      <c r="A21" s="43">
        <v>20</v>
      </c>
      <c r="B21" s="53">
        <v>0.28227114589511132</v>
      </c>
      <c r="C21" s="53">
        <v>6.516607737331874E-2</v>
      </c>
      <c r="D21" s="53">
        <v>0.58371425606695315</v>
      </c>
      <c r="E21" s="53">
        <v>0.28577314002182541</v>
      </c>
      <c r="F21" s="53">
        <v>0.16710661185701839</v>
      </c>
      <c r="G21" s="54">
        <v>0.15996685766432919</v>
      </c>
      <c r="H21" s="1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7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43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76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ref="F37:L43" si="11">_xlfn.IFNA(
SUMPRODUCT(
_xlfn.XLOOKUP(TRIM($B37), $R$4:$R$10, $S$4:$W$10),
_xlfn.XLOOKUP(--TRIM(F$36), $B$25:$B$34, $C$25:$G$34)
)
- _xlfn.XLOOKUP(TRIM($B37), $R$4:$R$10, $X$4:$X$10)
* _xlfn.XLOOKUP(--TRIM(F$36), $B$25:$B$34, $H$25:$H$34), ""
)</f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  <c r="M37">
        <f t="shared" ref="M37:M43" si="12">SUM(C37:L37)</f>
        <v>21.849999999999998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E43" si="13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3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  <c r="M38">
        <f t="shared" si="12"/>
        <v>24.4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3"/>
        <v>1.4500000000000002</v>
      </c>
      <c r="E39">
        <f t="shared" si="13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  <c r="M39">
        <f t="shared" si="12"/>
        <v>20.65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3"/>
        <v>1.7</v>
      </c>
      <c r="E40">
        <f t="shared" si="13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  <c r="M40">
        <f t="shared" si="12"/>
        <v>26.700000000000003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  <c r="M41">
        <f t="shared" si="12"/>
        <v>27.05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3"/>
        <v>2.85</v>
      </c>
      <c r="E42">
        <f t="shared" si="13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  <c r="M42">
        <f t="shared" si="12"/>
        <v>30.85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3"/>
        <v>1.55</v>
      </c>
      <c r="E43">
        <f t="shared" si="13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  <c r="M43">
        <f t="shared" si="12"/>
        <v>22.299999999999997</v>
      </c>
    </row>
    <row r="44" spans="2:25" x14ac:dyDescent="0.3">
      <c r="B44" s="52" t="s">
        <v>76</v>
      </c>
      <c r="C44">
        <f t="shared" ref="C44:M44" si="14">SUM(C37:C43)</f>
        <v>21.4</v>
      </c>
      <c r="D44">
        <f t="shared" si="14"/>
        <v>13.500000000000002</v>
      </c>
      <c r="E44">
        <f t="shared" si="14"/>
        <v>16.149999999999999</v>
      </c>
      <c r="F44">
        <f t="shared" si="14"/>
        <v>16.55</v>
      </c>
      <c r="G44">
        <f t="shared" si="14"/>
        <v>16.45</v>
      </c>
      <c r="H44">
        <f t="shared" si="14"/>
        <v>14.45</v>
      </c>
      <c r="I44">
        <f t="shared" si="14"/>
        <v>18.099999999999998</v>
      </c>
      <c r="J44">
        <f t="shared" si="14"/>
        <v>28.1</v>
      </c>
      <c r="K44">
        <f t="shared" si="14"/>
        <v>15.600000000000001</v>
      </c>
      <c r="L44">
        <f t="shared" si="14"/>
        <v>13.5</v>
      </c>
      <c r="M44">
        <f t="shared" si="14"/>
        <v>173.8</v>
      </c>
    </row>
    <row r="46" spans="2:25" x14ac:dyDescent="0.3">
      <c r="B46" s="41" t="s">
        <v>78</v>
      </c>
      <c r="E46" s="41" t="s">
        <v>79</v>
      </c>
    </row>
    <row r="47" spans="2:25" x14ac:dyDescent="0.3">
      <c r="B47" t="str">
        <f>_xlfn.XLOOKUP(C47,M37:M43,B37:B43)</f>
        <v>F</v>
      </c>
      <c r="C47">
        <f>MAX(M37:M43)</f>
        <v>30.85</v>
      </c>
      <c r="E47">
        <v>100</v>
      </c>
    </row>
    <row r="48" spans="2:25" x14ac:dyDescent="0.3">
      <c r="B48" s="41" t="s">
        <v>80</v>
      </c>
    </row>
    <row r="49" spans="2:3" x14ac:dyDescent="0.3">
      <c r="B49" t="str">
        <f>_xlfn.XLOOKUP(C49,E4:E10,B4:B10)</f>
        <v>A</v>
      </c>
      <c r="C49">
        <f>MIN(E4:E10)</f>
        <v>1</v>
      </c>
    </row>
    <row r="50" spans="2:3" x14ac:dyDescent="0.3">
      <c r="B50" s="41" t="s">
        <v>81</v>
      </c>
    </row>
    <row r="51" spans="2:3" x14ac:dyDescent="0.3">
      <c r="C51">
        <f>C49*(SUM(E25:E34))</f>
        <v>3</v>
      </c>
    </row>
    <row r="54" spans="2:3" x14ac:dyDescent="0.3">
      <c r="B54" s="41" t="s">
        <v>82</v>
      </c>
    </row>
    <row r="55" spans="2:3" x14ac:dyDescent="0.3">
      <c r="B55" s="41" t="s">
        <v>83</v>
      </c>
      <c r="C55">
        <f>C49</f>
        <v>1</v>
      </c>
    </row>
    <row r="56" spans="2:3" x14ac:dyDescent="0.3">
      <c r="B56" s="41" t="s">
        <v>84</v>
      </c>
      <c r="C56">
        <v>6</v>
      </c>
    </row>
    <row r="57" spans="2:3" x14ac:dyDescent="0.3">
      <c r="B57" s="41" t="s">
        <v>85</v>
      </c>
      <c r="C57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6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6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  <c r="Y12" s="51" t="s">
        <v>86</v>
      </c>
      <c r="Z12" s="51" t="s">
        <v>87</v>
      </c>
    </row>
    <row r="13" spans="2:26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6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6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11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11"/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12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1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2"/>
        <v>1.4500000000000002</v>
      </c>
      <c r="E39">
        <f t="shared" si="11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2"/>
        <v>1.7</v>
      </c>
      <c r="E40">
        <f t="shared" si="11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2"/>
        <v>2.0500000000000003</v>
      </c>
      <c r="E41">
        <f t="shared" si="11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2"/>
        <v>2.85</v>
      </c>
      <c r="E42">
        <f t="shared" si="11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2"/>
        <v>1.55</v>
      </c>
      <c r="E43">
        <f t="shared" si="11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8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10" width="13.6640625" customWidth="1"/>
    <col min="11" max="11" width="21.5546875" customWidth="1"/>
    <col min="12" max="14" width="13.6640625" customWidth="1"/>
    <col min="15" max="15" width="12.109375" customWidth="1"/>
    <col min="16" max="16" width="13.109375" customWidth="1"/>
  </cols>
  <sheetData>
    <row r="1" spans="2:18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</row>
    <row r="4" spans="2:18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</row>
    <row r="5" spans="2:18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</row>
    <row r="6" spans="2:18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18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</row>
    <row r="14" spans="2:18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18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18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31" spans="1:18" x14ac:dyDescent="0.3">
      <c r="B31" s="71" t="s">
        <v>0</v>
      </c>
      <c r="C31" s="68" t="s">
        <v>88</v>
      </c>
      <c r="D31" s="69"/>
      <c r="E31" s="69"/>
      <c r="F31" s="69"/>
    </row>
    <row r="32" spans="1:18" x14ac:dyDescent="0.3">
      <c r="B32" s="58"/>
      <c r="C32" s="70"/>
      <c r="D32" s="69"/>
      <c r="E32" s="69"/>
      <c r="F32" s="69"/>
    </row>
    <row r="33" spans="2:6" x14ac:dyDescent="0.3">
      <c r="B33" s="7" t="s">
        <v>16</v>
      </c>
      <c r="C33" s="65" t="s">
        <v>89</v>
      </c>
      <c r="D33" s="66"/>
      <c r="E33" s="66"/>
      <c r="F33" s="67"/>
    </row>
    <row r="34" spans="2:6" x14ac:dyDescent="0.3">
      <c r="B34" s="7" t="s">
        <v>13</v>
      </c>
      <c r="C34" s="65" t="s">
        <v>90</v>
      </c>
      <c r="D34" s="66"/>
      <c r="E34" s="66"/>
      <c r="F34" s="67"/>
    </row>
    <row r="35" spans="2:6" x14ac:dyDescent="0.3">
      <c r="B35" s="12" t="s">
        <v>10</v>
      </c>
      <c r="C35" s="65" t="s">
        <v>91</v>
      </c>
      <c r="D35" s="66"/>
      <c r="E35" s="66"/>
      <c r="F35" s="67"/>
    </row>
    <row r="36" spans="2:6" x14ac:dyDescent="0.3">
      <c r="B36" s="12" t="s">
        <v>12</v>
      </c>
      <c r="C36" s="65" t="s">
        <v>92</v>
      </c>
      <c r="D36" s="66"/>
      <c r="E36" s="66"/>
      <c r="F36" s="67"/>
    </row>
    <row r="37" spans="2:6" x14ac:dyDescent="0.3">
      <c r="B37" s="13" t="s">
        <v>93</v>
      </c>
      <c r="C37" s="65" t="s">
        <v>94</v>
      </c>
      <c r="D37" s="66"/>
      <c r="E37" s="66"/>
      <c r="F37" s="67"/>
    </row>
    <row r="38" spans="2:6" x14ac:dyDescent="0.3">
      <c r="B38" s="12" t="s">
        <v>15</v>
      </c>
      <c r="C38" s="65" t="s">
        <v>95</v>
      </c>
      <c r="D38" s="66"/>
      <c r="E38" s="66"/>
      <c r="F38" s="67"/>
    </row>
  </sheetData>
  <mergeCells count="14">
    <mergeCell ref="B12:B13"/>
    <mergeCell ref="E12:E13"/>
    <mergeCell ref="C34:F34"/>
    <mergeCell ref="C12:C13"/>
    <mergeCell ref="F12:F13"/>
    <mergeCell ref="B31:B32"/>
    <mergeCell ref="G12:G13"/>
    <mergeCell ref="C38:F38"/>
    <mergeCell ref="C33:F33"/>
    <mergeCell ref="D12:D13"/>
    <mergeCell ref="C31:F32"/>
    <mergeCell ref="C37:F37"/>
    <mergeCell ref="C36:F36"/>
    <mergeCell ref="C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Arda Aydin</cp:lastModifiedBy>
  <dcterms:created xsi:type="dcterms:W3CDTF">2026-03-13T16:47:31Z</dcterms:created>
  <dcterms:modified xsi:type="dcterms:W3CDTF">2026-04-02T11:45:16Z</dcterms:modified>
</cp:coreProperties>
</file>