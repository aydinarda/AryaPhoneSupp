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Supplier" sheetId="1" state="visible" r:id="rId1"/>
    <sheet name="User" sheetId="2" state="visible" r:id="rId2"/>
    <sheet name="Max Profit Agent" sheetId="3" state="visible" r:id="rId3"/>
    <sheet name="Min Cost Agent (2)" sheetId="4" state="visible" r:id="rId4"/>
    <sheet name="Max Match Agent" sheetId="5" state="visible" r:id="rId5"/>
    <sheet name="Best Global Policy" sheetId="6" state="visible" r:id="rId6"/>
    <sheet name="Arya Case" sheetId="7" state="visible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9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color theme="9" tint="-0.249977111117893"/>
      <sz val="11"/>
      <scheme val="minor"/>
    </font>
    <font>
      <name val="Calibri"/>
      <family val="2"/>
      <color theme="9" tint="-0.24997711111789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1"/>
      <scheme val="minor"/>
    </font>
  </fonts>
  <fills count="14">
    <fill>
      <patternFill/>
    </fill>
    <fill>
      <patternFill patternType="gray125"/>
    </fill>
    <fill>
      <patternFill patternType="solid">
        <fgColor theme="3"/>
      </patternFill>
    </fill>
    <fill>
      <patternFill patternType="solid">
        <fgColor theme="0" tint="-0.0499893185216834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"/>
        <bgColor indexed="65"/>
      </patternFill>
    </fill>
    <fill>
      <patternFill patternType="solid">
        <fgColor theme="7" tint="0.7999511703848384"/>
        <bgColor indexed="65"/>
      </patternFill>
    </fill>
    <fill>
      <patternFill patternType="solid">
        <fgColor theme="4" tint="0.7999511703848384"/>
        <bgColor indexed="65"/>
      </patternFill>
    </fill>
    <fill>
      <patternFill patternType="solid">
        <fgColor theme="0" tint="-0.1499984740745262"/>
        <bgColor indexed="6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4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10" borderId="4" pivotButton="0" quotePrefix="0" xfId="0"/>
    <xf numFmtId="0" fontId="2" fillId="4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5" fillId="8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4" pivotButton="0" quotePrefix="0" xfId="0"/>
    <xf numFmtId="0" fontId="2" fillId="0" borderId="1" pivotButton="0" quotePrefix="0" xfId="0"/>
    <xf numFmtId="2" fontId="0" fillId="0" borderId="1" pivotButton="0" quotePrefix="0" xfId="0"/>
    <xf numFmtId="0" fontId="4" fillId="0" borderId="4" pivotButton="0" quotePrefix="0" xfId="0"/>
    <xf numFmtId="0" fontId="6" fillId="0" borderId="0" pivotButton="0" quotePrefix="0" xfId="0"/>
    <xf numFmtId="0" fontId="6" fillId="0" borderId="1" pivotButton="0" quotePrefix="0" xfId="0"/>
    <xf numFmtId="0" fontId="6" fillId="0" borderId="4" pivotButton="0" quotePrefix="0" xfId="0"/>
    <xf numFmtId="0" fontId="4" fillId="11" borderId="1" pivotButton="0" quotePrefix="0" xfId="0"/>
    <xf numFmtId="0" fontId="7" fillId="13" borderId="1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12" borderId="1" pivotButton="0" quotePrefix="0" xfId="0"/>
    <xf numFmtId="0" fontId="5" fillId="2" borderId="0" applyAlignment="1" pivotButton="0" quotePrefix="0" xfId="0">
      <alignment horizontal="center"/>
    </xf>
    <xf numFmtId="0" fontId="0" fillId="10" borderId="4" pivotButton="0" quotePrefix="0" xfId="0"/>
    <xf numFmtId="0" fontId="2" fillId="6" borderId="1" pivotButton="0" quotePrefix="0" xfId="0"/>
    <xf numFmtId="0" fontId="2" fillId="11" borderId="1" pivotButton="0" quotePrefix="0" xfId="0"/>
    <xf numFmtId="0" fontId="9" fillId="2" borderId="0" applyAlignment="1" pivotButton="0" quotePrefix="0" xfId="0">
      <alignment horizontal="center"/>
    </xf>
    <xf numFmtId="0" fontId="0" fillId="12" borderId="1" pivotButton="0" quotePrefix="0" xfId="0"/>
    <xf numFmtId="0" fontId="1" fillId="2" borderId="0" applyAlignment="1" pivotButton="0" quotePrefix="0" xfId="0">
      <alignment horizontal="center"/>
    </xf>
    <xf numFmtId="0" fontId="1" fillId="2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/>
    </xf>
    <xf numFmtId="0" fontId="1" fillId="2" borderId="1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5" fillId="2" borderId="8" applyAlignment="1" pivotButton="0" quotePrefix="0" xfId="0">
      <alignment vertical="center" wrapText="1"/>
    </xf>
    <xf numFmtId="0" fontId="1" fillId="2" borderId="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2" borderId="2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164" fontId="0" fillId="0" borderId="1" pivotButton="0" quotePrefix="0" xfId="0"/>
    <xf numFmtId="164" fontId="0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2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2" pivotButton="0" quotePrefix="0" xfId="0"/>
    <xf numFmtId="0" fontId="1" fillId="2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4" borderId="1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0" fillId="0" borderId="11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</t>
        </is>
      </c>
      <c r="B1" t="inlineStr">
        <is>
          <t>Environmental Risk</t>
        </is>
      </c>
      <c r="C1" t="inlineStr">
        <is>
          <t>Social Risk</t>
        </is>
      </c>
      <c r="D1" t="inlineStr">
        <is>
          <t>Cost Score</t>
        </is>
      </c>
      <c r="E1" t="inlineStr">
        <is>
          <t>Strategic Importance</t>
        </is>
      </c>
      <c r="F1" t="inlineStr">
        <is>
          <t>Improvement Potential</t>
        </is>
      </c>
      <c r="G1" t="inlineStr">
        <is>
          <t>Child Labor</t>
        </is>
      </c>
      <c r="H1" t="inlineStr">
        <is>
          <t>Banned Chemicals</t>
        </is>
      </c>
      <c r="I1" t="inlineStr">
        <is>
          <t>Low Product Quality</t>
        </is>
      </c>
      <c r="J1" t="inlineStr">
        <is>
          <t>Total Score</t>
        </is>
      </c>
    </row>
    <row r="2">
      <c r="A2" t="inlineStr">
        <is>
          <t>A</t>
        </is>
      </c>
      <c r="B2" s="72" t="n">
        <v>2.412</v>
      </c>
      <c r="C2" s="72" t="n">
        <v>4.371</v>
      </c>
      <c r="D2" s="72" t="n">
        <v>2.457</v>
      </c>
      <c r="E2" s="72" t="n">
        <v>1.943</v>
      </c>
      <c r="F2" s="72" t="n">
        <v>2</v>
      </c>
      <c r="G2" s="73" t="n">
        <v>0</v>
      </c>
      <c r="H2" s="73" t="n">
        <v>1</v>
      </c>
      <c r="I2" s="73" t="n">
        <v>1</v>
      </c>
      <c r="J2" s="72" t="n">
        <v>13.184</v>
      </c>
    </row>
    <row r="3">
      <c r="A3" t="inlineStr">
        <is>
          <t>B</t>
        </is>
      </c>
      <c r="B3" s="72" t="n">
        <v>4.056</v>
      </c>
      <c r="C3" s="72" t="n">
        <v>1.33</v>
      </c>
      <c r="D3" s="72" t="n">
        <v>4.839</v>
      </c>
      <c r="E3" s="72" t="n">
        <v>1.064</v>
      </c>
      <c r="F3" s="72" t="n">
        <v>4</v>
      </c>
      <c r="G3" s="73" t="n">
        <v>0</v>
      </c>
      <c r="H3" s="73" t="n">
        <v>0</v>
      </c>
      <c r="I3" s="73" t="n">
        <v>0</v>
      </c>
      <c r="J3" s="72" t="n">
        <v>15.289</v>
      </c>
    </row>
    <row r="4">
      <c r="A4" t="inlineStr">
        <is>
          <t>C</t>
        </is>
      </c>
      <c r="B4" s="72" t="n">
        <v>4.135</v>
      </c>
      <c r="C4" s="72" t="n">
        <v>4.371</v>
      </c>
      <c r="D4" s="72" t="n">
        <v>2.898</v>
      </c>
      <c r="E4" s="72" t="n">
        <v>2.416</v>
      </c>
      <c r="F4" s="72" t="n">
        <v>5</v>
      </c>
      <c r="G4" s="73" t="n">
        <v>0</v>
      </c>
      <c r="H4" s="73" t="n">
        <v>0</v>
      </c>
      <c r="I4" s="73" t="n">
        <v>0</v>
      </c>
      <c r="J4" s="72" t="n">
        <v>18.82</v>
      </c>
    </row>
    <row r="5">
      <c r="A5" t="inlineStr">
        <is>
          <t>D</t>
        </is>
      </c>
      <c r="B5" s="72" t="n">
        <v>3.591</v>
      </c>
      <c r="C5" s="72" t="n">
        <v>1.629</v>
      </c>
      <c r="D5" s="72" t="n">
        <v>2.622</v>
      </c>
      <c r="E5" s="72" t="n">
        <v>1.01</v>
      </c>
      <c r="F5" s="72" t="n">
        <v>2</v>
      </c>
      <c r="G5" s="73" t="n">
        <v>0</v>
      </c>
      <c r="H5" s="73" t="n">
        <v>1</v>
      </c>
      <c r="I5" s="73" t="n">
        <v>0</v>
      </c>
      <c r="J5" s="72" t="n">
        <v>10.851</v>
      </c>
    </row>
    <row r="6">
      <c r="A6" t="inlineStr">
        <is>
          <t>E</t>
        </is>
      </c>
      <c r="B6" s="72" t="n">
        <v>1.705</v>
      </c>
      <c r="C6" s="72" t="n">
        <v>4.371</v>
      </c>
      <c r="D6" s="72" t="n">
        <v>2.967</v>
      </c>
      <c r="E6" s="72" t="n">
        <v>2.079</v>
      </c>
      <c r="F6" s="72" t="n">
        <v>5</v>
      </c>
      <c r="G6" s="73" t="n">
        <v>0</v>
      </c>
      <c r="H6" s="73" t="n">
        <v>1</v>
      </c>
      <c r="I6" s="73" t="n">
        <v>1</v>
      </c>
      <c r="J6" s="72" t="n">
        <v>16.122</v>
      </c>
    </row>
    <row r="7">
      <c r="A7" t="inlineStr">
        <is>
          <t>F</t>
        </is>
      </c>
      <c r="B7" s="72" t="n">
        <v>1.147</v>
      </c>
      <c r="C7" s="72" t="n">
        <v>3.887</v>
      </c>
      <c r="D7" s="72" t="n">
        <v>2.898</v>
      </c>
      <c r="E7" s="72" t="n">
        <v>1.995</v>
      </c>
      <c r="F7" s="72" t="n">
        <v>5</v>
      </c>
      <c r="G7" s="73" t="n">
        <v>1</v>
      </c>
      <c r="H7" s="73" t="n">
        <v>0</v>
      </c>
      <c r="I7" s="73" t="n">
        <v>0</v>
      </c>
      <c r="J7" s="72" t="n">
        <v>14.927</v>
      </c>
    </row>
    <row r="8">
      <c r="A8" t="inlineStr">
        <is>
          <t>G</t>
        </is>
      </c>
      <c r="B8" s="72" t="n">
        <v>2.705</v>
      </c>
      <c r="C8" s="72" t="n">
        <v>2.927</v>
      </c>
      <c r="D8" s="72" t="n">
        <v>0.543</v>
      </c>
      <c r="E8" s="72" t="n">
        <v>1.796</v>
      </c>
      <c r="F8" s="72" t="n">
        <v>5</v>
      </c>
      <c r="G8" s="73" t="n">
        <v>0</v>
      </c>
      <c r="H8" s="73" t="n">
        <v>1</v>
      </c>
      <c r="I8" s="73" t="n">
        <v>0</v>
      </c>
      <c r="J8" s="72" t="n">
        <v>12.97</v>
      </c>
    </row>
    <row r="9">
      <c r="A9" t="inlineStr">
        <is>
          <t>H</t>
        </is>
      </c>
      <c r="B9" s="72" t="n">
        <v>1.208</v>
      </c>
      <c r="C9" s="72" t="n">
        <v>4.371</v>
      </c>
      <c r="D9" s="72" t="n">
        <v>1.069</v>
      </c>
      <c r="E9" s="72" t="n">
        <v>2.516</v>
      </c>
      <c r="F9" s="72" t="n">
        <v>5</v>
      </c>
      <c r="G9" s="73" t="n">
        <v>1</v>
      </c>
      <c r="H9" s="73" t="n">
        <v>0</v>
      </c>
      <c r="I9" s="73" t="n">
        <v>0</v>
      </c>
      <c r="J9" s="72" t="n">
        <v>14.163</v>
      </c>
    </row>
    <row r="10">
      <c r="A10" t="inlineStr">
        <is>
          <t>I</t>
        </is>
      </c>
      <c r="B10" s="72" t="n">
        <v>1.249</v>
      </c>
      <c r="C10" s="72" t="n">
        <v>3.618</v>
      </c>
      <c r="D10" s="72" t="n">
        <v>1.064</v>
      </c>
      <c r="E10" s="72" t="n">
        <v>2.323</v>
      </c>
      <c r="F10" s="72" t="n">
        <v>2</v>
      </c>
      <c r="G10" s="73" t="n">
        <v>1</v>
      </c>
      <c r="H10" s="73" t="n">
        <v>0</v>
      </c>
      <c r="I10" s="73" t="n">
        <v>0</v>
      </c>
      <c r="J10" s="72" t="n">
        <v>10.255</v>
      </c>
    </row>
    <row r="11">
      <c r="A11" t="inlineStr">
        <is>
          <t>J</t>
        </is>
      </c>
      <c r="B11" s="72" t="n">
        <v>4.056</v>
      </c>
      <c r="C11" s="72" t="n">
        <v>1.218</v>
      </c>
      <c r="D11" s="72" t="n">
        <v>2.622</v>
      </c>
      <c r="E11" s="72" t="n">
        <v>4.627</v>
      </c>
      <c r="F11" s="72" t="n">
        <v>2</v>
      </c>
      <c r="G11" s="73" t="n">
        <v>1</v>
      </c>
      <c r="H11" s="73" t="n">
        <v>1</v>
      </c>
      <c r="I11" s="73" t="n">
        <v>0</v>
      </c>
      <c r="J11" s="72" t="n">
        <v>14.522</v>
      </c>
    </row>
    <row r="12">
      <c r="A12" t="inlineStr">
        <is>
          <t>K</t>
        </is>
      </c>
      <c r="B12" s="72" t="n">
        <v>4.056</v>
      </c>
      <c r="C12" s="72" t="n">
        <v>3.589</v>
      </c>
      <c r="D12" s="72" t="n">
        <v>2.308</v>
      </c>
      <c r="E12" s="72" t="n">
        <v>1.861</v>
      </c>
      <c r="F12" s="72" t="n">
        <v>2</v>
      </c>
      <c r="G12" s="73" t="n">
        <v>1</v>
      </c>
      <c r="H12" s="73" t="n">
        <v>1</v>
      </c>
      <c r="I12" s="73" t="n">
        <v>1</v>
      </c>
      <c r="J12" s="72" t="n">
        <v>13.813</v>
      </c>
    </row>
    <row r="13">
      <c r="A13" t="inlineStr">
        <is>
          <t>L</t>
        </is>
      </c>
      <c r="B13" s="72" t="n">
        <v>4.056</v>
      </c>
      <c r="C13" s="72" t="n">
        <v>1.628</v>
      </c>
      <c r="D13" s="72" t="n">
        <v>1.458</v>
      </c>
      <c r="E13" s="72" t="n">
        <v>2.053</v>
      </c>
      <c r="F13" s="72" t="n">
        <v>2</v>
      </c>
      <c r="G13" s="73" t="n">
        <v>0</v>
      </c>
      <c r="H13" s="73" t="n">
        <v>1</v>
      </c>
      <c r="I13" s="73" t="n">
        <v>1</v>
      </c>
      <c r="J13" s="72" t="n">
        <v>11.195</v>
      </c>
    </row>
    <row r="14">
      <c r="A14" t="inlineStr">
        <is>
          <t>M</t>
        </is>
      </c>
      <c r="B14" s="72" t="n">
        <v>1.014</v>
      </c>
      <c r="C14" s="72" t="n">
        <v>4.371</v>
      </c>
      <c r="D14" s="72" t="n">
        <v>2.109</v>
      </c>
      <c r="E14" s="72" t="n">
        <v>1.657</v>
      </c>
      <c r="F14" s="72" t="n">
        <v>2</v>
      </c>
      <c r="G14" s="73" t="n">
        <v>0</v>
      </c>
      <c r="H14" s="73" t="n">
        <v>0</v>
      </c>
      <c r="I14" s="73" t="n">
        <v>1</v>
      </c>
      <c r="J14" s="72" t="n">
        <v>11.151</v>
      </c>
    </row>
    <row r="15">
      <c r="A15" t="inlineStr">
        <is>
          <t>N</t>
        </is>
      </c>
      <c r="B15" s="72" t="n">
        <v>3.578</v>
      </c>
      <c r="C15" s="72" t="n">
        <v>1.006</v>
      </c>
      <c r="D15" s="72" t="n">
        <v>4.999</v>
      </c>
      <c r="E15" s="72" t="n">
        <v>1.303</v>
      </c>
      <c r="F15" s="72" t="n">
        <v>2</v>
      </c>
      <c r="G15" s="73" t="n">
        <v>1</v>
      </c>
      <c r="H15" s="73" t="n">
        <v>0</v>
      </c>
      <c r="I15" s="73" t="n">
        <v>0</v>
      </c>
      <c r="J15" s="72" t="n">
        <v>12.885</v>
      </c>
    </row>
    <row r="16">
      <c r="A16" t="inlineStr">
        <is>
          <t>O</t>
        </is>
      </c>
      <c r="B16" s="72" t="n">
        <v>1.479</v>
      </c>
      <c r="C16" s="72" t="n">
        <v>4.371</v>
      </c>
      <c r="D16" s="72" t="n">
        <v>1.151</v>
      </c>
      <c r="E16" s="72" t="n">
        <v>1.405</v>
      </c>
      <c r="F16" s="72" t="n">
        <v>5</v>
      </c>
      <c r="G16" s="73" t="n">
        <v>1</v>
      </c>
      <c r="H16" s="73" t="n">
        <v>0</v>
      </c>
      <c r="I16" s="73" t="n">
        <v>0</v>
      </c>
      <c r="J16" s="72" t="n">
        <v>13.406</v>
      </c>
    </row>
    <row r="17">
      <c r="A17" t="inlineStr">
        <is>
          <t>P</t>
        </is>
      </c>
      <c r="B17" s="72" t="n">
        <v>2.455</v>
      </c>
      <c r="C17" s="72" t="n">
        <v>1.577</v>
      </c>
      <c r="D17" s="72" t="n">
        <v>1.133</v>
      </c>
      <c r="E17" s="72" t="n">
        <v>3.672</v>
      </c>
      <c r="F17" s="72" t="n">
        <v>2</v>
      </c>
      <c r="G17" s="73" t="n">
        <v>0</v>
      </c>
      <c r="H17" s="73" t="n">
        <v>0</v>
      </c>
      <c r="I17" s="73" t="n">
        <v>1</v>
      </c>
      <c r="J17" s="72" t="n">
        <v>10.838</v>
      </c>
    </row>
    <row r="18">
      <c r="A18" t="inlineStr">
        <is>
          <t>Q</t>
        </is>
      </c>
      <c r="B18" s="72" t="n">
        <v>1.546</v>
      </c>
      <c r="C18" s="72" t="n">
        <v>4.943</v>
      </c>
      <c r="D18" s="72" t="n">
        <v>2.898</v>
      </c>
      <c r="E18" s="72" t="n">
        <v>1.806</v>
      </c>
      <c r="F18" s="72" t="n">
        <v>2</v>
      </c>
      <c r="G18" s="73" t="n">
        <v>1</v>
      </c>
      <c r="H18" s="73" t="n">
        <v>0</v>
      </c>
      <c r="I18" s="73" t="n">
        <v>1</v>
      </c>
      <c r="J18" s="72" t="n">
        <v>13.193</v>
      </c>
    </row>
    <row r="19">
      <c r="A19" t="inlineStr">
        <is>
          <t>R</t>
        </is>
      </c>
      <c r="B19" s="72" t="n">
        <v>4.854</v>
      </c>
      <c r="C19" s="72" t="n">
        <v>1.023</v>
      </c>
      <c r="D19" s="72" t="n">
        <v>4.964</v>
      </c>
      <c r="E19" s="72" t="n">
        <v>3.874</v>
      </c>
      <c r="F19" s="72" t="n">
        <v>5</v>
      </c>
      <c r="G19" s="73" t="n">
        <v>1</v>
      </c>
      <c r="H19" s="73" t="n">
        <v>0</v>
      </c>
      <c r="I19" s="73" t="n">
        <v>0</v>
      </c>
      <c r="J19" s="72" t="n">
        <v>19.715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selection activeCell="A1" sqref="A1"/>
    </sheetView>
  </sheetViews>
  <sheetFormatPr baseColWidth="8" defaultRowHeight="14.4"/>
  <cols>
    <col width="39.6640625" customWidth="1" style="60" min="8" max="8"/>
  </cols>
  <sheetData>
    <row r="1" ht="33.15" customHeight="1" s="60">
      <c r="A1" s="42" t="inlineStr">
        <is>
          <t>Users</t>
        </is>
      </c>
      <c r="B1" s="57" t="inlineStr">
        <is>
          <t>Environmental Risk</t>
        </is>
      </c>
      <c r="C1" s="57" t="inlineStr">
        <is>
          <t>Social Risk</t>
        </is>
      </c>
      <c r="D1" s="57" t="inlineStr">
        <is>
          <t>Cost Score</t>
        </is>
      </c>
      <c r="E1" s="57" t="inlineStr">
        <is>
          <t>Strategic Importance</t>
        </is>
      </c>
      <c r="F1" s="57" t="inlineStr">
        <is>
          <t>Improvement Potential</t>
        </is>
      </c>
      <c r="G1" s="17" t="inlineStr">
        <is>
          <t>Low Product Quality</t>
        </is>
      </c>
      <c r="H1" s="57" t="inlineStr">
        <is>
          <t>Utility Function</t>
        </is>
      </c>
    </row>
    <row r="2">
      <c r="A2" s="43" t="n">
        <v>1</v>
      </c>
      <c r="B2" s="53" t="n">
        <v>0.06200863036631322</v>
      </c>
      <c r="C2" s="53" t="n">
        <v>0.260405714217571</v>
      </c>
      <c r="D2" s="53" t="n">
        <v>0.4352447618467419</v>
      </c>
      <c r="E2" s="53" t="n">
        <v>0.1067200194772385</v>
      </c>
      <c r="F2" s="53" t="n">
        <v>0.1015536583349882</v>
      </c>
      <c r="G2" s="56" t="n">
        <v>0.2560017363633072</v>
      </c>
      <c r="H2" s="1" t="inlineStr">
        <is>
          <t>0,062x1+ 0,260x2+ 0,435x3+ 0,107x4+ 0,102x5+ -0,256x6</t>
        </is>
      </c>
    </row>
    <row r="3">
      <c r="A3" s="43" t="n">
        <v>2</v>
      </c>
      <c r="B3" s="53" t="n">
        <v>0.1262867946106227</v>
      </c>
      <c r="C3" s="53" t="n">
        <v>0.07341827619397999</v>
      </c>
      <c r="D3" s="53" t="n">
        <v>0.1479060725320508</v>
      </c>
      <c r="E3" s="53" t="n">
        <v>0.2910044220069483</v>
      </c>
      <c r="F3" s="53" t="n">
        <v>0.108246470664996</v>
      </c>
      <c r="G3" s="56" t="n">
        <v>0.1139929232648282</v>
      </c>
      <c r="H3" s="1" t="inlineStr">
        <is>
          <t>0,126x1+ 0,073x2+ 0,148x3+ 0,291x4+ 0,108x5+ -0,114x6</t>
        </is>
      </c>
    </row>
    <row r="4">
      <c r="A4" s="43" t="n">
        <v>3</v>
      </c>
      <c r="B4" s="53" t="n">
        <v>0.06067934013561796</v>
      </c>
      <c r="C4" s="53" t="n">
        <v>0.06681319651318486</v>
      </c>
      <c r="D4" s="53" t="n">
        <v>0.3649505450313106</v>
      </c>
      <c r="E4" s="53" t="n">
        <v>0.1289632335141715</v>
      </c>
      <c r="F4" s="53" t="n">
        <v>0.1251816285253199</v>
      </c>
      <c r="G4" s="56" t="n">
        <v>0.2157064562086494</v>
      </c>
      <c r="H4" s="1" t="inlineStr">
        <is>
          <t>0,061x1+ 0,067x2+ 0,365x3+ 0,129x4+ 0,125x5+ -0,216x6</t>
        </is>
      </c>
    </row>
    <row r="5">
      <c r="A5" s="43" t="n">
        <v>4</v>
      </c>
      <c r="B5" s="53" t="n">
        <v>0.1918891525943686</v>
      </c>
      <c r="C5" s="53" t="n">
        <v>0.09654650464422759</v>
      </c>
      <c r="D5" s="53" t="n">
        <v>0.1173714689098652</v>
      </c>
      <c r="E5" s="53" t="n">
        <v>0.1067200194772385</v>
      </c>
      <c r="F5" s="53" t="n">
        <v>0.1015536583349882</v>
      </c>
      <c r="G5" s="56" t="n">
        <v>0.2786438025318343</v>
      </c>
      <c r="H5" s="1" t="inlineStr">
        <is>
          <t>0,192x1+ 0,097x2+ 0,117x3+ 0,107x4+ 0,102x5+ -0,279x6</t>
        </is>
      </c>
    </row>
    <row r="6">
      <c r="A6" s="43" t="n">
        <v>5</v>
      </c>
      <c r="B6" s="53" t="n">
        <v>0.2973152829209035</v>
      </c>
      <c r="C6" s="53" t="n">
        <v>0.09115081021963828</v>
      </c>
      <c r="D6" s="53" t="n">
        <v>0.6102617370746495</v>
      </c>
      <c r="E6" s="53" t="n">
        <v>0.1894546450606142</v>
      </c>
      <c r="F6" s="53" t="n">
        <v>0.1015536583349882</v>
      </c>
      <c r="G6" s="56" t="n">
        <v>0.2958831531838094</v>
      </c>
      <c r="H6" s="1" t="inlineStr">
        <is>
          <t>0,297x1+ 0,091x2+ 0,610x3+ 0,189x4+ 0,102x5+ -0,296x6</t>
        </is>
      </c>
    </row>
    <row r="7">
      <c r="A7" s="43" t="n">
        <v>6</v>
      </c>
      <c r="B7" s="53" t="n">
        <v>0.06422703317309462</v>
      </c>
      <c r="C7" s="53" t="n">
        <v>0.1548302945280972</v>
      </c>
      <c r="D7" s="53" t="n">
        <v>0.3950794858538532</v>
      </c>
      <c r="E7" s="53" t="n">
        <v>0.1696297096643221</v>
      </c>
      <c r="F7" s="53" t="n">
        <v>0.1015536583349882</v>
      </c>
      <c r="G7" s="56" t="n">
        <v>0.2934545074556529</v>
      </c>
      <c r="H7" s="1" t="inlineStr">
        <is>
          <t>0,064x1+ 0,155x2+ 0,395x3+ 0,170x4+ 0,102x5+ -0,293x6</t>
        </is>
      </c>
    </row>
    <row r="8">
      <c r="A8" s="43" t="n">
        <v>7</v>
      </c>
      <c r="B8" s="53" t="n">
        <v>0.1039433720356735</v>
      </c>
      <c r="C8" s="53" t="n">
        <v>0.1902404565035765</v>
      </c>
      <c r="D8" s="53" t="n">
        <v>0.2403499628531783</v>
      </c>
      <c r="E8" s="53" t="n">
        <v>0.2780432399484226</v>
      </c>
      <c r="F8" s="53" t="n">
        <v>0.119152078029859</v>
      </c>
      <c r="G8" s="56" t="n">
        <v>0.1037612453176729</v>
      </c>
      <c r="H8" s="1" t="inlineStr">
        <is>
          <t>0,104x1+ 0,190x2+ 0,240x3+ 0,278x4+ 0,119x5+ -0,104x6</t>
        </is>
      </c>
    </row>
    <row r="9">
      <c r="A9" s="43" t="n">
        <v>8</v>
      </c>
      <c r="B9" s="53" t="n">
        <v>0.1202053717041603</v>
      </c>
      <c r="C9" s="53" t="n">
        <v>0.1610984873010732</v>
      </c>
      <c r="D9" s="53" t="n">
        <v>0.4489372630754193</v>
      </c>
      <c r="E9" s="53" t="n">
        <v>0.1700893318600815</v>
      </c>
      <c r="F9" s="53" t="n">
        <v>0.2752896756306377</v>
      </c>
      <c r="G9" s="56" t="n">
        <v>0.167589073754059</v>
      </c>
      <c r="H9" s="1" t="inlineStr">
        <is>
          <t>0,120x1+ 0,161x2+ 0,449x3+ 0,170x4+ 0,275x5+ -0,168x6</t>
        </is>
      </c>
    </row>
    <row r="10">
      <c r="A10" s="43" t="n">
        <v>9</v>
      </c>
      <c r="B10" s="53" t="n">
        <v>0.1216495133482835</v>
      </c>
      <c r="C10" s="53" t="n">
        <v>0.169853061961363</v>
      </c>
      <c r="D10" s="53" t="n">
        <v>0.2885635542573541</v>
      </c>
      <c r="E10" s="53" t="n">
        <v>0.2486137455591373</v>
      </c>
      <c r="F10" s="53" t="n">
        <v>0.2506440441166047</v>
      </c>
      <c r="G10" s="56" t="n">
        <v>0.1699957613807705</v>
      </c>
      <c r="H10" s="1" t="inlineStr">
        <is>
          <t>0,122x1+ 0,170x2+ 0,289x3+ 0,249x4+ 0,251x5+ -0,170x6</t>
        </is>
      </c>
    </row>
    <row r="11">
      <c r="A11" s="43" t="n">
        <v>10</v>
      </c>
      <c r="B11" s="53" t="n">
        <v>0.05676566771511145</v>
      </c>
      <c r="C11" s="53" t="n">
        <v>0.1438348657334916</v>
      </c>
      <c r="D11" s="53" t="n">
        <v>0.1173714689098652</v>
      </c>
      <c r="E11" s="53" t="n">
        <v>0.183331251224816</v>
      </c>
      <c r="F11" s="53" t="n">
        <v>0.1015536583349882</v>
      </c>
      <c r="G11" s="56" t="n">
        <v>0.1084088170756421</v>
      </c>
      <c r="H11" s="1" t="inlineStr">
        <is>
          <t>0,057x1+ 0,144x2+ 0,117x3+ 0,183x4+ 0,102x5+ -0,108x6</t>
        </is>
      </c>
    </row>
    <row r="12">
      <c r="A12" s="43" t="n">
        <v>11</v>
      </c>
      <c r="B12" s="53" t="n">
        <v>0.06067934013561796</v>
      </c>
      <c r="C12" s="53" t="n">
        <v>0.1069163109916726</v>
      </c>
      <c r="D12" s="53" t="n">
        <v>0.1173714689098652</v>
      </c>
      <c r="E12" s="53" t="n">
        <v>0.2912832135924225</v>
      </c>
      <c r="F12" s="53" t="n">
        <v>0.1015536583349882</v>
      </c>
      <c r="G12" s="56" t="n">
        <v>0.1096077760804178</v>
      </c>
      <c r="H12" s="1" t="inlineStr">
        <is>
          <t>0,061x1+ 0,107x2+ 0,117x3+ 0,291x4+ 0,102x5+ -0,110x6</t>
        </is>
      </c>
    </row>
    <row r="13">
      <c r="A13" s="43" t="n">
        <v>12</v>
      </c>
      <c r="B13" s="53" t="n">
        <v>0.1951137805377003</v>
      </c>
      <c r="C13" s="53" t="n">
        <v>0.07341827619397999</v>
      </c>
      <c r="D13" s="53" t="n">
        <v>0.1173714689098652</v>
      </c>
      <c r="E13" s="53" t="n">
        <v>0.3193881331429803</v>
      </c>
      <c r="F13" s="53" t="n">
        <v>0.1015536583349882</v>
      </c>
      <c r="G13" s="56" t="n">
        <v>0.100629661763317</v>
      </c>
      <c r="H13" s="1" t="inlineStr">
        <is>
          <t>0,195x1+ 0,073x2+ 0,117x3+ 0,319x4+ 0,102x5+ -0,101x6</t>
        </is>
      </c>
    </row>
    <row r="14">
      <c r="A14" s="43" t="n">
        <v>13</v>
      </c>
      <c r="B14" s="53" t="n">
        <v>0.05133819847534786</v>
      </c>
      <c r="C14" s="53" t="n">
        <v>0.2545764145748389</v>
      </c>
      <c r="D14" s="53" t="n">
        <v>0.6102617370746495</v>
      </c>
      <c r="E14" s="53" t="n">
        <v>0.2482448337441009</v>
      </c>
      <c r="F14" s="53" t="n">
        <v>0.2881274398577503</v>
      </c>
      <c r="G14" s="56" t="n">
        <v>0.2642691599885784</v>
      </c>
      <c r="H14" s="1" t="inlineStr">
        <is>
          <t>0,051x1+ 0,255x2+ 0,610x3+ 0,248x4+ 0,288x5+ -0,264x6</t>
        </is>
      </c>
    </row>
    <row r="15">
      <c r="A15" s="43" t="n">
        <v>14</v>
      </c>
      <c r="B15" s="53" t="n">
        <v>0.2822711458951113</v>
      </c>
      <c r="C15" s="53" t="n">
        <v>0.07341827619397999</v>
      </c>
      <c r="D15" s="53" t="n">
        <v>0.1173714689098652</v>
      </c>
      <c r="E15" s="53" t="n">
        <v>0.102500150077396</v>
      </c>
      <c r="F15" s="53" t="n">
        <v>0.1127673895923734</v>
      </c>
      <c r="G15" s="56" t="n">
        <v>0.1020081514064624</v>
      </c>
      <c r="H15" s="1" t="inlineStr">
        <is>
          <t>0,282x1+ 0,073x2+ 0,117x3+ 0,103x4+ 0,113x5+ -0,102x6</t>
        </is>
      </c>
    </row>
    <row r="16">
      <c r="A16" s="43" t="n">
        <v>15</v>
      </c>
      <c r="B16" s="53" t="n">
        <v>0.256912825288836</v>
      </c>
      <c r="C16" s="53" t="n">
        <v>0.2545764145748389</v>
      </c>
      <c r="D16" s="53" t="n">
        <v>0.1712656406045957</v>
      </c>
      <c r="E16" s="53" t="n">
        <v>0.2420689507212055</v>
      </c>
      <c r="F16" s="53" t="n">
        <v>0.1015536583349882</v>
      </c>
      <c r="G16" s="56" t="n">
        <v>0.1037612453176729</v>
      </c>
      <c r="H16" s="1" t="inlineStr">
        <is>
          <t>0,257x1+ 0,255x2+ 0,171x3+ 0,242x4+ 0,102x5+ -0,104x6</t>
        </is>
      </c>
    </row>
    <row r="17">
      <c r="A17" s="43" t="n">
        <v>16</v>
      </c>
      <c r="B17" s="53" t="n">
        <v>0.1053695272468596</v>
      </c>
      <c r="C17" s="53" t="n">
        <v>0.2669391283095111</v>
      </c>
      <c r="D17" s="53" t="n">
        <v>0.4241899024185574</v>
      </c>
      <c r="E17" s="53" t="n">
        <v>0.1067200194772385</v>
      </c>
      <c r="F17" s="53" t="n">
        <v>0.1015536583349882</v>
      </c>
      <c r="G17" s="56" t="n">
        <v>0.1037612453176729</v>
      </c>
      <c r="H17" s="1" t="inlineStr">
        <is>
          <t>0,105x1+ 0,267x2+ 0,424x3+ 0,107x4+ 0,102x5+ -0,104x6</t>
        </is>
      </c>
    </row>
    <row r="18">
      <c r="A18" s="43" t="n">
        <v>17</v>
      </c>
      <c r="B18" s="53" t="n">
        <v>0.08465333840739925</v>
      </c>
      <c r="C18" s="53" t="n">
        <v>0.1220881840705172</v>
      </c>
      <c r="D18" s="53" t="n">
        <v>0.4351886207160514</v>
      </c>
      <c r="E18" s="53" t="n">
        <v>0.324460596645017</v>
      </c>
      <c r="F18" s="53" t="n">
        <v>0.1015536583349882</v>
      </c>
      <c r="G18" s="56" t="n">
        <v>0.1382359117259156</v>
      </c>
      <c r="H18" s="1" t="inlineStr">
        <is>
          <t>0,085x1+ 0,122x2+ 0,435x3+ 0,324x4+ 0,102x5+ -0,138x6</t>
        </is>
      </c>
    </row>
    <row r="19">
      <c r="A19" s="43" t="n">
        <v>18</v>
      </c>
      <c r="B19" s="53" t="n">
        <v>0.2814182686426002</v>
      </c>
      <c r="C19" s="53" t="n">
        <v>0.05445079191677284</v>
      </c>
      <c r="D19" s="53" t="n">
        <v>0.6119105387983326</v>
      </c>
      <c r="E19" s="53" t="n">
        <v>0.1067200194772385</v>
      </c>
      <c r="F19" s="53" t="n">
        <v>0.1526519635228633</v>
      </c>
      <c r="G19" s="56" t="n">
        <v>0.1037612453176729</v>
      </c>
      <c r="H19" s="1" t="inlineStr">
        <is>
          <t>0,281x1+ 0,054x2+ 0,612x3+ 0,107x4+ 0,153x5+ -0,104x6</t>
        </is>
      </c>
    </row>
    <row r="20">
      <c r="A20" s="43" t="n">
        <v>19</v>
      </c>
      <c r="B20" s="53" t="n">
        <v>0.1184919934586543</v>
      </c>
      <c r="C20" s="53" t="n">
        <v>0.2048960971299689</v>
      </c>
      <c r="D20" s="53" t="n">
        <v>0.1173714689098652</v>
      </c>
      <c r="E20" s="53" t="n">
        <v>0.1067200194772385</v>
      </c>
      <c r="F20" s="53" t="n">
        <v>0.1015536583349882</v>
      </c>
      <c r="G20" s="56" t="n">
        <v>0.2711470060834664</v>
      </c>
      <c r="H20" s="1" t="inlineStr">
        <is>
          <t>0,118x1+ 0,205x2+ 0,117x3+ 0,107x4+ 0,102x5+ -0,271x6</t>
        </is>
      </c>
    </row>
    <row r="21">
      <c r="A21" s="43" t="n">
        <v>20</v>
      </c>
      <c r="B21" s="53" t="n">
        <v>0.2822711458951113</v>
      </c>
      <c r="C21" s="53" t="n">
        <v>0.06516607737331874</v>
      </c>
      <c r="D21" s="53" t="n">
        <v>0.5837142560669532</v>
      </c>
      <c r="E21" s="53" t="n">
        <v>0.2857731400218254</v>
      </c>
      <c r="F21" s="53" t="n">
        <v>0.1671066118570184</v>
      </c>
      <c r="G21" s="56" t="n">
        <v>0.1599668576643292</v>
      </c>
      <c r="H21" s="1" t="inlineStr">
        <is>
          <t>0,282x1+ 0,065x2+ 0,584x3+ 0,286x4+ 0,167x5+ -0,160x6</t>
        </is>
      </c>
    </row>
    <row r="22">
      <c r="A22" s="43" t="n">
        <v>21</v>
      </c>
      <c r="B22" s="53" t="n">
        <v>0.1362501947594199</v>
      </c>
      <c r="C22" s="53" t="n">
        <v>0.2673627928081436</v>
      </c>
      <c r="D22" s="53" t="n">
        <v>0.1173714689098652</v>
      </c>
      <c r="E22" s="53" t="n">
        <v>0.1067200194772385</v>
      </c>
      <c r="F22" s="53" t="n">
        <v>0.2569780871649339</v>
      </c>
      <c r="G22" s="56" t="n">
        <v>0.1681867427062157</v>
      </c>
      <c r="H22" s="1" t="inlineStr">
        <is>
          <t>0,136x1+ 0,267x2+ 0,117x3+ 0,107x4+ 0,257x5+ -0,168x6</t>
        </is>
      </c>
    </row>
    <row r="23">
      <c r="A23" s="43" t="n">
        <v>22</v>
      </c>
      <c r="B23" s="53" t="n">
        <v>0.1757688680245634</v>
      </c>
      <c r="C23" s="53" t="n">
        <v>0.1328280615590264</v>
      </c>
      <c r="D23" s="53" t="n">
        <v>0.6406993716600697</v>
      </c>
      <c r="E23" s="53" t="n">
        <v>0.1156241043733628</v>
      </c>
      <c r="F23" s="53" t="n">
        <v>0.1015536583349882</v>
      </c>
      <c r="G23" s="56" t="n">
        <v>0.2187801270157072</v>
      </c>
      <c r="H23" s="1" t="inlineStr">
        <is>
          <t>0,176x1+ 0,133x2+ 0,641x3+ 0,116x4+ 0,102x5+ -0,219x6</t>
        </is>
      </c>
    </row>
    <row r="24">
      <c r="A24" s="43" t="n">
        <v>23</v>
      </c>
      <c r="B24" s="53" t="n">
        <v>0.06067934013561796</v>
      </c>
      <c r="C24" s="53" t="n">
        <v>0.2020776182714696</v>
      </c>
      <c r="D24" s="53" t="n">
        <v>0.3302522347558403</v>
      </c>
      <c r="E24" s="53" t="n">
        <v>0.1067200194772385</v>
      </c>
      <c r="F24" s="53" t="n">
        <v>0.2144044563580489</v>
      </c>
      <c r="G24" s="56" t="n">
        <v>0.1958892099244608</v>
      </c>
      <c r="H24" s="1" t="inlineStr">
        <is>
          <t>0,061x1+ 0,202x2+ 0,330x3+ 0,107x4+ 0,214x5+ -0,196x6</t>
        </is>
      </c>
    </row>
    <row r="25">
      <c r="A25" s="43" t="n">
        <v>24</v>
      </c>
      <c r="B25" s="53" t="n">
        <v>0.2822711458951113</v>
      </c>
      <c r="C25" s="53" t="n">
        <v>0.0579281414517006</v>
      </c>
      <c r="D25" s="53" t="n">
        <v>0.5424950751655523</v>
      </c>
      <c r="E25" s="53" t="n">
        <v>0.1067200194772385</v>
      </c>
      <c r="F25" s="53" t="n">
        <v>0.1015536583349882</v>
      </c>
      <c r="G25" s="56" t="n">
        <v>0.2325208366111086</v>
      </c>
      <c r="H25" s="1" t="inlineStr">
        <is>
          <t>0,282x1+ 0,058x2+ 0,542x3+ 0,107x4+ 0,102x5+ -0,233x6</t>
        </is>
      </c>
    </row>
    <row r="26">
      <c r="A26" s="43" t="n">
        <v>25</v>
      </c>
      <c r="B26" s="53" t="n">
        <v>0.09735143639904795</v>
      </c>
      <c r="C26" s="53" t="n">
        <v>0.1036188640356149</v>
      </c>
      <c r="D26" s="53" t="n">
        <v>0.4019932384394676</v>
      </c>
      <c r="E26" s="53" t="n">
        <v>0.1067200194772385</v>
      </c>
      <c r="F26" s="53" t="n">
        <v>0.1440099925941641</v>
      </c>
      <c r="G26" s="56" t="n">
        <v>0.1037612453176729</v>
      </c>
      <c r="H26" s="1" t="inlineStr">
        <is>
          <t>0,097x1+ 0,104x2+ 0,402x3+ 0,107x4+ 0,144x5+ -0,104x6</t>
        </is>
      </c>
    </row>
    <row r="27">
      <c r="A27" s="43" t="n">
        <v>26</v>
      </c>
      <c r="B27" s="53" t="n">
        <v>0.1604496716786986</v>
      </c>
      <c r="C27" s="53" t="n">
        <v>0.09647963475177149</v>
      </c>
      <c r="D27" s="53" t="n">
        <v>0.541960514039123</v>
      </c>
      <c r="E27" s="53" t="n">
        <v>0.1067200194772385</v>
      </c>
      <c r="F27" s="53" t="n">
        <v>0.1652384376770844</v>
      </c>
      <c r="G27" s="56" t="n">
        <v>0.1037612453176729</v>
      </c>
      <c r="H27" s="1" t="inlineStr">
        <is>
          <t>0,160x1+ 0,096x2+ 0,542x3+ 0,107x4+ 0,165x5+ -0,104x6</t>
        </is>
      </c>
    </row>
    <row r="28">
      <c r="A28" s="43" t="n">
        <v>27</v>
      </c>
      <c r="B28" s="53" t="n">
        <v>0.162050333804738</v>
      </c>
      <c r="C28" s="53" t="n">
        <v>0.1377071184708863</v>
      </c>
      <c r="D28" s="53" t="n">
        <v>0.6490526895920417</v>
      </c>
      <c r="E28" s="53" t="n">
        <v>0.3120811540572564</v>
      </c>
      <c r="F28" s="53" t="n">
        <v>0.1015536583349882</v>
      </c>
      <c r="G28" s="56" t="n">
        <v>0.2958831531838094</v>
      </c>
      <c r="H28" s="1" t="inlineStr">
        <is>
          <t>0,162x1+ 0,138x2+ 0,649x3+ 0,312x4+ 0,102x5+ -0,296x6</t>
        </is>
      </c>
    </row>
    <row r="29">
      <c r="A29" s="43" t="n">
        <v>28</v>
      </c>
      <c r="B29" s="53" t="n">
        <v>0.1034037894779316</v>
      </c>
      <c r="C29" s="53" t="n">
        <v>0.2520303068326551</v>
      </c>
      <c r="D29" s="53" t="n">
        <v>0.4656737064724533</v>
      </c>
      <c r="E29" s="53" t="n">
        <v>0.1067200194772385</v>
      </c>
      <c r="F29" s="53" t="n">
        <v>0.2490746641855618</v>
      </c>
      <c r="G29" s="56" t="n">
        <v>0.2301645642889756</v>
      </c>
      <c r="H29" s="1" t="inlineStr">
        <is>
          <t>0,103x1+ 0,252x2+ 0,466x3+ 0,107x4+ 0,249x5+ -0,230x6</t>
        </is>
      </c>
    </row>
    <row r="30">
      <c r="A30" s="43" t="n">
        <v>29</v>
      </c>
      <c r="B30" s="53" t="n">
        <v>0.1693129375195765</v>
      </c>
      <c r="C30" s="53" t="n">
        <v>0.07341827619397999</v>
      </c>
      <c r="D30" s="53" t="n">
        <v>0.1173714689098652</v>
      </c>
      <c r="E30" s="53" t="n">
        <v>0.1067200194772385</v>
      </c>
      <c r="F30" s="53" t="n">
        <v>0.1957158721668788</v>
      </c>
      <c r="G30" s="56" t="n">
        <v>0.1037612453176729</v>
      </c>
      <c r="H30" s="1" t="inlineStr">
        <is>
          <t>0,169x1+ 0,073x2+ 0,117x3+ 0,107x4+ 0,196x5+ -0,104x6</t>
        </is>
      </c>
    </row>
    <row r="31">
      <c r="A31" s="43" t="n">
        <v>30</v>
      </c>
      <c r="B31" s="53" t="n">
        <v>0.06067934013561796</v>
      </c>
      <c r="C31" s="53" t="n">
        <v>0.2676787028177882</v>
      </c>
      <c r="D31" s="53" t="n">
        <v>0.5966328444901939</v>
      </c>
      <c r="E31" s="53" t="n">
        <v>0.2070238087009846</v>
      </c>
      <c r="F31" s="53" t="n">
        <v>0.1015536583349882</v>
      </c>
      <c r="G31" s="56" t="n">
        <v>0.2958831531838094</v>
      </c>
      <c r="H31" s="1" t="inlineStr">
        <is>
          <t>0,061x1+ 0,268x2+ 0,597x3+ 0,207x4+ 0,102x5+ -0,296x6</t>
        </is>
      </c>
    </row>
    <row r="32">
      <c r="A32" s="43" t="n">
        <v>31</v>
      </c>
      <c r="B32" s="53" t="n">
        <v>0.2022712646739774</v>
      </c>
      <c r="C32" s="53" t="n">
        <v>0.07341827619397999</v>
      </c>
      <c r="D32" s="53" t="n">
        <v>0.1173714689098652</v>
      </c>
      <c r="E32" s="53" t="n">
        <v>0.1590724795549413</v>
      </c>
      <c r="F32" s="53" t="n">
        <v>0.1015536583349882</v>
      </c>
      <c r="G32" s="56" t="n">
        <v>0.1037612453176729</v>
      </c>
      <c r="H32" s="1" t="inlineStr">
        <is>
          <t>0,202x1+ 0,073x2+ 0,117x3+ 0,159x4+ 0,102x5+ -0,104x6</t>
        </is>
      </c>
    </row>
    <row r="33">
      <c r="A33" s="43" t="n">
        <v>32</v>
      </c>
      <c r="B33" s="53" t="n">
        <v>0.06067934013561796</v>
      </c>
      <c r="C33" s="53" t="n">
        <v>0.1465153407995628</v>
      </c>
      <c r="D33" s="53" t="n">
        <v>0.4153208949801797</v>
      </c>
      <c r="E33" s="53" t="n">
        <v>0.1067200194772385</v>
      </c>
      <c r="F33" s="53" t="n">
        <v>0.1722475352822143</v>
      </c>
      <c r="G33" s="56" t="n">
        <v>0.2958831531838094</v>
      </c>
      <c r="H33" s="1" t="inlineStr">
        <is>
          <t>0,061x1+ 0,147x2+ 0,415x3+ 0,107x4+ 0,172x5+ -0,296x6</t>
        </is>
      </c>
    </row>
    <row r="34">
      <c r="A34" s="43" t="n">
        <v>33</v>
      </c>
      <c r="B34" s="53" t="n">
        <v>0.06067934013561796</v>
      </c>
      <c r="C34" s="53" t="n">
        <v>0.07341827619397999</v>
      </c>
      <c r="D34" s="53" t="n">
        <v>0.1154837922041731</v>
      </c>
      <c r="E34" s="53" t="n">
        <v>0.1067200194772385</v>
      </c>
      <c r="F34" s="53" t="n">
        <v>0.1015536583349882</v>
      </c>
      <c r="G34" s="56" t="n">
        <v>0.2958831531838094</v>
      </c>
      <c r="H34" s="1" t="inlineStr">
        <is>
          <t>0,061x1+ 0,073x2+ 0,115x3+ 0,107x4+ 0,102x5+ -0,296x6</t>
        </is>
      </c>
    </row>
    <row r="35">
      <c r="A35" s="43" t="n">
        <v>34</v>
      </c>
      <c r="B35" s="53" t="n">
        <v>0.05134186292704554</v>
      </c>
      <c r="C35" s="53" t="n">
        <v>0.1536647649720483</v>
      </c>
      <c r="D35" s="53" t="n">
        <v>0.3355632296957352</v>
      </c>
      <c r="E35" s="53" t="n">
        <v>0.1638721362598067</v>
      </c>
      <c r="F35" s="53" t="n">
        <v>0.1637215028212998</v>
      </c>
      <c r="G35" s="56" t="n">
        <v>0.2276050181531796</v>
      </c>
      <c r="H35" s="1" t="inlineStr">
        <is>
          <t>0,051x1+ 0,154x2+ 0,336x3+ 0,164x4+ 0,164x5+ -0,228x6</t>
        </is>
      </c>
    </row>
    <row r="36">
      <c r="A36" s="43" t="n">
        <v>35</v>
      </c>
      <c r="B36" s="53" t="n">
        <v>0.06067934013561796</v>
      </c>
      <c r="C36" s="53" t="n">
        <v>0.1334610743396101</v>
      </c>
      <c r="D36" s="53" t="n">
        <v>0.2058539222183588</v>
      </c>
      <c r="E36" s="53" t="n">
        <v>0.1067200194772385</v>
      </c>
      <c r="F36" s="53" t="n">
        <v>0.1015536583349882</v>
      </c>
      <c r="G36" s="56" t="n">
        <v>0.2010231920980353</v>
      </c>
      <c r="H36" s="1" t="inlineStr">
        <is>
          <t>0,061x1+ 0,133x2+ 0,206x3+ 0,107x4+ 0,102x5+ -0,201x6</t>
        </is>
      </c>
    </row>
    <row r="37">
      <c r="A37" s="43" t="n">
        <v>36</v>
      </c>
      <c r="B37" s="53" t="n">
        <v>0.2591339190326741</v>
      </c>
      <c r="C37" s="53" t="n">
        <v>0.05074452442276935</v>
      </c>
      <c r="D37" s="53" t="n">
        <v>0.389233882892537</v>
      </c>
      <c r="E37" s="53" t="n">
        <v>0.1067200194772385</v>
      </c>
      <c r="F37" s="53" t="n">
        <v>0.143033497693828</v>
      </c>
      <c r="G37" s="56" t="n">
        <v>0.1393167993312897</v>
      </c>
      <c r="H37" s="1" t="inlineStr">
        <is>
          <t>0,259x1+ 0,051x2+ 0,389x3+ 0,107x4+ 0,143x5+ -0,139x6</t>
        </is>
      </c>
    </row>
    <row r="38">
      <c r="A38" s="43" t="n">
        <v>37</v>
      </c>
      <c r="B38" s="53" t="n">
        <v>0.1340690584823008</v>
      </c>
      <c r="C38" s="53" t="n">
        <v>0.07341827619397999</v>
      </c>
      <c r="D38" s="53" t="n">
        <v>0.3530669794117637</v>
      </c>
      <c r="E38" s="53" t="n">
        <v>0.1067200194772385</v>
      </c>
      <c r="F38" s="53" t="n">
        <v>0.1015536583349882</v>
      </c>
      <c r="G38" s="56" t="n">
        <v>0.2789188677033638</v>
      </c>
      <c r="H38" s="1" t="inlineStr">
        <is>
          <t>0,134x1+ 0,073x2+ 0,353x3+ 0,107x4+ 0,102x5+ -0,279x6</t>
        </is>
      </c>
    </row>
    <row r="39">
      <c r="A39" s="43" t="n">
        <v>38</v>
      </c>
      <c r="B39" s="53" t="n">
        <v>0.1111054444604742</v>
      </c>
      <c r="C39" s="53" t="n">
        <v>0.2680347154590641</v>
      </c>
      <c r="D39" s="53" t="n">
        <v>0.1173714689098652</v>
      </c>
      <c r="E39" s="53" t="n">
        <v>0.1067200194772385</v>
      </c>
      <c r="F39" s="53" t="n">
        <v>0.2048746751627261</v>
      </c>
      <c r="G39" s="56" t="n">
        <v>0.1561943244037173</v>
      </c>
      <c r="H39" s="1" t="inlineStr">
        <is>
          <t>0,111x1+ 0,268x2+ 0,117x3+ 0,107x4+ 0,205x5+ -0,156x6</t>
        </is>
      </c>
    </row>
    <row r="40">
      <c r="A40" s="43" t="n">
        <v>39</v>
      </c>
      <c r="B40" s="53" t="n">
        <v>0.1633953749304761</v>
      </c>
      <c r="C40" s="53" t="n">
        <v>0.07341827619397999</v>
      </c>
      <c r="D40" s="53" t="n">
        <v>0.5787414605289301</v>
      </c>
      <c r="E40" s="53" t="n">
        <v>0.1067200194772385</v>
      </c>
      <c r="F40" s="53" t="n">
        <v>0.2196715384853373</v>
      </c>
      <c r="G40" s="56" t="n">
        <v>0.2485339870026108</v>
      </c>
      <c r="H40" s="1" t="inlineStr">
        <is>
          <t>0,163x1+ 0,073x2+ 0,579x3+ 0,107x4+ 0,220x5+ -0,249x6</t>
        </is>
      </c>
    </row>
    <row r="41">
      <c r="A41" s="43" t="n">
        <v>40</v>
      </c>
      <c r="B41" s="53" t="n">
        <v>0.1221317086112438</v>
      </c>
      <c r="C41" s="53" t="n">
        <v>0.07341827619397999</v>
      </c>
      <c r="D41" s="53" t="n">
        <v>0.4100506194879459</v>
      </c>
      <c r="E41" s="53" t="n">
        <v>0.1015529156194887</v>
      </c>
      <c r="F41" s="53" t="n">
        <v>0.1089115152077469</v>
      </c>
      <c r="G41" s="56" t="n">
        <v>0.150379238279406</v>
      </c>
      <c r="H41" s="1" t="inlineStr">
        <is>
          <t>0,122x1+ 0,073x2+ 0,410x3+ 0,102x4+ 0,109x5+ -0,150x6</t>
        </is>
      </c>
    </row>
    <row r="42">
      <c r="A42" s="43" t="n">
        <v>41</v>
      </c>
      <c r="B42" s="53" t="n">
        <v>0.0882234738008098</v>
      </c>
      <c r="C42" s="53" t="n">
        <v>0.2683002851120431</v>
      </c>
      <c r="D42" s="53" t="n">
        <v>0.4654900159712425</v>
      </c>
      <c r="E42" s="53" t="n">
        <v>0.2021547996564894</v>
      </c>
      <c r="F42" s="53" t="n">
        <v>0.1239843630316539</v>
      </c>
      <c r="G42" s="56" t="n">
        <v>0.1037612453176729</v>
      </c>
      <c r="H42" s="1" t="inlineStr">
        <is>
          <t>0,088x1+ 0,268x2+ 0,465x3+ 0,202x4+ 0,124x5+ -0,104x6</t>
        </is>
      </c>
    </row>
    <row r="43">
      <c r="A43" s="43" t="n">
        <v>42</v>
      </c>
      <c r="B43" s="53" t="n">
        <v>0.2156837092826215</v>
      </c>
      <c r="C43" s="53" t="n">
        <v>0.1299771080090909</v>
      </c>
      <c r="D43" s="53" t="n">
        <v>0.3541777953137188</v>
      </c>
      <c r="E43" s="53" t="n">
        <v>0.1002248119994248</v>
      </c>
      <c r="F43" s="53" t="n">
        <v>0.1956853184403209</v>
      </c>
      <c r="G43" s="56" t="n">
        <v>0.1293412742478665</v>
      </c>
      <c r="H43" s="1" t="inlineStr">
        <is>
          <t>0,216x1+ 0,130x2+ 0,354x3+ 0,100x4+ 0,196x5+ -0,129x6</t>
        </is>
      </c>
    </row>
    <row r="44">
      <c r="A44" s="43" t="n">
        <v>43</v>
      </c>
      <c r="B44" s="53" t="n">
        <v>0.0938567947657875</v>
      </c>
      <c r="C44" s="53" t="n">
        <v>0.1804587020830616</v>
      </c>
      <c r="D44" s="53" t="n">
        <v>0.1173714689098652</v>
      </c>
      <c r="E44" s="53" t="n">
        <v>0.2033384220989191</v>
      </c>
      <c r="F44" s="53" t="n">
        <v>0.1633960755893837</v>
      </c>
      <c r="G44" s="56" t="n">
        <v>0.1542335563333018</v>
      </c>
      <c r="H44" s="1" t="inlineStr">
        <is>
          <t>0,094x1+ 0,180x2+ 0,117x3+ 0,203x4+ 0,163x5+ -0,154x6</t>
        </is>
      </c>
    </row>
    <row r="45">
      <c r="A45" s="43" t="n">
        <v>44</v>
      </c>
      <c r="B45" s="53" t="n">
        <v>0.1014260066380611</v>
      </c>
      <c r="C45" s="53" t="n">
        <v>0.2370911249992902</v>
      </c>
      <c r="D45" s="53" t="n">
        <v>0.3721587487588684</v>
      </c>
      <c r="E45" s="53" t="n">
        <v>0.2118398614291492</v>
      </c>
      <c r="F45" s="53" t="n">
        <v>0.1005884528708832</v>
      </c>
      <c r="G45" s="56" t="n">
        <v>0.2539807562939986</v>
      </c>
      <c r="H45" s="1" t="inlineStr">
        <is>
          <t>0,101x1+ 0,237x2+ 0,372x3+ 0,212x4+ 0,101x5+ -0,254x6</t>
        </is>
      </c>
    </row>
    <row r="46">
      <c r="A46" s="43" t="n">
        <v>45</v>
      </c>
      <c r="B46" s="53" t="n">
        <v>0.06067934013561796</v>
      </c>
      <c r="C46" s="53" t="n">
        <v>0.2431292894815981</v>
      </c>
      <c r="D46" s="53" t="n">
        <v>0.1173714689098652</v>
      </c>
      <c r="E46" s="53" t="n">
        <v>0.1422889006223748</v>
      </c>
      <c r="F46" s="53" t="n">
        <v>0.1648445462157659</v>
      </c>
      <c r="G46" s="56" t="n">
        <v>0.2672211012747864</v>
      </c>
      <c r="H46" s="1" t="inlineStr">
        <is>
          <t>0,061x1+ 0,243x2+ 0,117x3+ 0,142x4+ 0,165x5+ -0,267x6</t>
        </is>
      </c>
    </row>
    <row r="47">
      <c r="A47" s="43" t="n">
        <v>46</v>
      </c>
      <c r="B47" s="53" t="n">
        <v>0.1695169025408867</v>
      </c>
      <c r="C47" s="53" t="n">
        <v>0.06998960418753167</v>
      </c>
      <c r="D47" s="53" t="n">
        <v>0.4612245749033578</v>
      </c>
      <c r="E47" s="53" t="n">
        <v>0.23347442148151</v>
      </c>
      <c r="F47" s="53" t="n">
        <v>0.108486259681195</v>
      </c>
      <c r="G47" s="56" t="n">
        <v>0.1085482072022719</v>
      </c>
      <c r="H47" s="1" t="inlineStr">
        <is>
          <t>0,170x1+ 0,070x2+ 0,461x3+ 0,233x4+ 0,108x5+ -0,109x6</t>
        </is>
      </c>
    </row>
    <row r="48">
      <c r="A48" s="43" t="n">
        <v>47</v>
      </c>
      <c r="B48" s="53" t="n">
        <v>0.1513138779322443</v>
      </c>
      <c r="C48" s="53" t="n">
        <v>0.1301935876356004</v>
      </c>
      <c r="D48" s="53" t="n">
        <v>0.20310956365453</v>
      </c>
      <c r="E48" s="53" t="n">
        <v>0.1067200194772385</v>
      </c>
      <c r="F48" s="53" t="n">
        <v>0.1791080354293836</v>
      </c>
      <c r="G48" s="56" t="n">
        <v>0.2958831531838094</v>
      </c>
      <c r="H48" s="1" t="inlineStr">
        <is>
          <t>0,151x1+ 0,130x2+ 0,203x3+ 0,107x4+ 0,179x5+ -0,296x6</t>
        </is>
      </c>
    </row>
    <row r="49">
      <c r="A49" s="43" t="n">
        <v>48</v>
      </c>
      <c r="B49" s="53" t="n">
        <v>0.2822711458951113</v>
      </c>
      <c r="C49" s="53" t="n">
        <v>0.1569303472182526</v>
      </c>
      <c r="D49" s="53" t="n">
        <v>0.1470678572001581</v>
      </c>
      <c r="E49" s="53" t="n">
        <v>0.1149030111656126</v>
      </c>
      <c r="F49" s="53" t="n">
        <v>0.2850424594012925</v>
      </c>
      <c r="G49" s="56" t="n">
        <v>0.106113889465977</v>
      </c>
      <c r="H49" s="1" t="inlineStr">
        <is>
          <t>0,282x1+ 0,157x2+ 0,147x3+ 0,115x4+ 0,285x5+ -0,106x6</t>
        </is>
      </c>
    </row>
    <row r="50">
      <c r="A50" s="43" t="n">
        <v>49</v>
      </c>
      <c r="B50" s="53" t="n">
        <v>0.06067934013561796</v>
      </c>
      <c r="C50" s="53" t="n">
        <v>0.2496935046276033</v>
      </c>
      <c r="D50" s="53" t="n">
        <v>0.32763904185265</v>
      </c>
      <c r="E50" s="53" t="n">
        <v>0.2090282363393011</v>
      </c>
      <c r="F50" s="53" t="n">
        <v>0.2850424594012925</v>
      </c>
      <c r="G50" s="56" t="n">
        <v>0.1982678637059571</v>
      </c>
      <c r="H50" s="1" t="inlineStr">
        <is>
          <t>0,061x1+ 0,250x2+ 0,328x3+ 0,209x4+ 0,285x5+ -0,198x6</t>
        </is>
      </c>
    </row>
    <row r="51">
      <c r="A51" s="43" t="n">
        <v>50</v>
      </c>
      <c r="B51" s="53" t="n">
        <v>0.06067934013561796</v>
      </c>
      <c r="C51" s="53" t="n">
        <v>0.2650117668263584</v>
      </c>
      <c r="D51" s="53" t="n">
        <v>0.4625819328262291</v>
      </c>
      <c r="E51" s="53" t="n">
        <v>0.1037957162819837</v>
      </c>
      <c r="F51" s="53" t="n">
        <v>0.1015536583349882</v>
      </c>
      <c r="G51" s="56" t="n">
        <v>0.1037612453176729</v>
      </c>
      <c r="H51" s="1" t="inlineStr">
        <is>
          <t>0,061x1+ 0,265x2+ 0,463x3+ 0,104x4+ 0,102x5+ -0,104x6</t>
        </is>
      </c>
    </row>
    <row r="52">
      <c r="A52" s="43" t="n">
        <v>51</v>
      </c>
      <c r="B52" s="53" t="n">
        <v>0.1175991397677676</v>
      </c>
      <c r="C52" s="53" t="n">
        <v>0.1469244388658289</v>
      </c>
      <c r="D52" s="53" t="n">
        <v>0.1173714689098652</v>
      </c>
      <c r="E52" s="53" t="n">
        <v>0.1067200194772385</v>
      </c>
      <c r="F52" s="53" t="n">
        <v>0.1177719402830125</v>
      </c>
      <c r="G52" s="56" t="n">
        <v>0.2889648736401658</v>
      </c>
      <c r="H52" s="1" t="inlineStr">
        <is>
          <t>0,118x1+ 0,147x2+ 0,117x3+ 0,107x4+ 0,118x5+ -0,289x6</t>
        </is>
      </c>
    </row>
    <row r="53">
      <c r="A53" s="43" t="n">
        <v>52</v>
      </c>
      <c r="B53" s="53" t="n">
        <v>0.2580068502411179</v>
      </c>
      <c r="C53" s="53" t="n">
        <v>0.1713835728202912</v>
      </c>
      <c r="D53" s="53" t="n">
        <v>0.5772879102961266</v>
      </c>
      <c r="E53" s="53" t="n">
        <v>0.149464636473506</v>
      </c>
      <c r="F53" s="53" t="n">
        <v>0.1674880856810468</v>
      </c>
      <c r="G53" s="56" t="n">
        <v>0.2958831531838094</v>
      </c>
      <c r="H53" s="1" t="inlineStr">
        <is>
          <t>0,258x1+ 0,171x2+ 0,577x3+ 0,149x4+ 0,167x5+ -0,296x6</t>
        </is>
      </c>
    </row>
    <row r="54">
      <c r="A54" s="43" t="n">
        <v>53</v>
      </c>
      <c r="B54" s="53" t="n">
        <v>0.2053605813455171</v>
      </c>
      <c r="C54" s="53" t="n">
        <v>0.10653890295164</v>
      </c>
      <c r="D54" s="53" t="n">
        <v>0.6020836576498509</v>
      </c>
      <c r="E54" s="53" t="n">
        <v>0.1425489909319735</v>
      </c>
      <c r="F54" s="53" t="n">
        <v>0.2985301569860871</v>
      </c>
      <c r="G54" s="56" t="n">
        <v>0.1904581977681119</v>
      </c>
      <c r="H54" s="1" t="inlineStr">
        <is>
          <t>0,205x1+ 0,107x2+ 0,602x3+ 0,143x4+ 0,299x5+ -0,190x6</t>
        </is>
      </c>
    </row>
    <row r="55">
      <c r="A55" s="43" t="n">
        <v>54</v>
      </c>
      <c r="B55" s="53" t="n">
        <v>0.06067934013561796</v>
      </c>
      <c r="C55" s="53" t="n">
        <v>0.1073585477196994</v>
      </c>
      <c r="D55" s="53" t="n">
        <v>0.6406334893074724</v>
      </c>
      <c r="E55" s="53" t="n">
        <v>0.1142146218775906</v>
      </c>
      <c r="F55" s="53" t="n">
        <v>0.2022001069935355</v>
      </c>
      <c r="G55" s="56" t="n">
        <v>0.1918426471912563</v>
      </c>
      <c r="H55" s="1" t="inlineStr">
        <is>
          <t>0,061x1+ 0,107x2+ 0,641x3+ 0,114x4+ 0,202x5+ -0,192x6</t>
        </is>
      </c>
    </row>
    <row r="56">
      <c r="A56" s="43" t="n">
        <v>55</v>
      </c>
      <c r="B56" s="53" t="n">
        <v>0.05346456202497372</v>
      </c>
      <c r="C56" s="53" t="n">
        <v>0.07341827619397999</v>
      </c>
      <c r="D56" s="53" t="n">
        <v>0.5122611238652728</v>
      </c>
      <c r="E56" s="53" t="n">
        <v>0.1067200194772385</v>
      </c>
      <c r="F56" s="53" t="n">
        <v>0.1015536583349882</v>
      </c>
      <c r="G56" s="56" t="n">
        <v>0.1103601055607843</v>
      </c>
      <c r="H56" s="1" t="inlineStr">
        <is>
          <t>0,053x1+ 0,073x2+ 0,512x3+ 0,107x4+ 0,102x5+ -0,110x6</t>
        </is>
      </c>
    </row>
    <row r="57">
      <c r="A57" s="43" t="n">
        <v>56</v>
      </c>
      <c r="B57" s="53" t="n">
        <v>0.0994229979925278</v>
      </c>
      <c r="C57" s="53" t="n">
        <v>0.2048596359000494</v>
      </c>
      <c r="D57" s="53" t="n">
        <v>0.1173714689098652</v>
      </c>
      <c r="E57" s="53" t="n">
        <v>0.133480215965539</v>
      </c>
      <c r="F57" s="53" t="n">
        <v>0.2106288523682106</v>
      </c>
      <c r="G57" s="56" t="n">
        <v>0.1990308989394252</v>
      </c>
      <c r="H57" s="1" t="inlineStr">
        <is>
          <t>0,099x1+ 0,205x2+ 0,117x3+ 0,133x4+ 0,211x5+ -0,199x6</t>
        </is>
      </c>
    </row>
    <row r="58">
      <c r="A58" s="43" t="n">
        <v>57</v>
      </c>
      <c r="B58" s="53" t="n">
        <v>0.2794513844760831</v>
      </c>
      <c r="C58" s="53" t="n">
        <v>0.2214529737016164</v>
      </c>
      <c r="D58" s="53" t="n">
        <v>0.4597823224887788</v>
      </c>
      <c r="E58" s="53" t="n">
        <v>0.1067200194772385</v>
      </c>
      <c r="F58" s="53" t="n">
        <v>0.1015536583349882</v>
      </c>
      <c r="G58" s="56" t="n">
        <v>0.2594544579815524</v>
      </c>
      <c r="H58" s="1" t="inlineStr">
        <is>
          <t>0,279x1+ 0,221x2+ 0,460x3+ 0,107x4+ 0,102x5+ -0,259x6</t>
        </is>
      </c>
    </row>
    <row r="59">
      <c r="A59" s="43" t="n">
        <v>58</v>
      </c>
      <c r="B59" s="53" t="n">
        <v>0.06067934013561796</v>
      </c>
      <c r="C59" s="53" t="n">
        <v>0.1138701515768725</v>
      </c>
      <c r="D59" s="53" t="n">
        <v>0.3090645198651516</v>
      </c>
      <c r="E59" s="53" t="n">
        <v>0.1067200194772385</v>
      </c>
      <c r="F59" s="53" t="n">
        <v>0.1015536583349882</v>
      </c>
      <c r="G59" s="56" t="n">
        <v>0.1037612453176729</v>
      </c>
      <c r="H59" s="1" t="inlineStr">
        <is>
          <t>0,061x1+ 0,114x2+ 0,309x3+ 0,107x4+ 0,102x5+ -0,104x6</t>
        </is>
      </c>
    </row>
    <row r="60">
      <c r="A60" s="43" t="n">
        <v>59</v>
      </c>
      <c r="B60" s="53" t="n">
        <v>0.08427865495086863</v>
      </c>
      <c r="C60" s="53" t="n">
        <v>0.07341827619397999</v>
      </c>
      <c r="D60" s="53" t="n">
        <v>0.1173714689098652</v>
      </c>
      <c r="E60" s="53" t="n">
        <v>0.1207273640271243</v>
      </c>
      <c r="F60" s="53" t="n">
        <v>0.1015536583349882</v>
      </c>
      <c r="G60" s="56" t="n">
        <v>0.205992141132593</v>
      </c>
      <c r="H60" s="1" t="inlineStr">
        <is>
          <t>0,084x1+ 0,073x2+ 0,117x3+ 0,121x4+ 0,102x5+ -0,206x6</t>
        </is>
      </c>
    </row>
    <row r="61">
      <c r="A61" s="43" t="n">
        <v>60</v>
      </c>
      <c r="B61" s="53" t="n">
        <v>0.1190136336787296</v>
      </c>
      <c r="C61" s="53" t="n">
        <v>0.1536416740498148</v>
      </c>
      <c r="D61" s="53" t="n">
        <v>0.3069605771110447</v>
      </c>
      <c r="E61" s="53" t="n">
        <v>0.1487412317999304</v>
      </c>
      <c r="F61" s="53" t="n">
        <v>0.1015536583349882</v>
      </c>
      <c r="G61" s="56" t="n">
        <v>0.2398555760396581</v>
      </c>
      <c r="H61" s="1" t="inlineStr">
        <is>
          <t>0,119x1+ 0,154x2+ 0,307x3+ 0,149x4+ 0,102x5+ -0,240x6</t>
        </is>
      </c>
    </row>
    <row r="62">
      <c r="A62" s="43" t="n">
        <v>61</v>
      </c>
      <c r="B62" s="53" t="n">
        <v>0.2593682124021789</v>
      </c>
      <c r="C62" s="53" t="n">
        <v>0.2369348422272853</v>
      </c>
      <c r="D62" s="53" t="n">
        <v>0.2085267722995809</v>
      </c>
      <c r="E62" s="53" t="n">
        <v>0.1891998294199009</v>
      </c>
      <c r="F62" s="53" t="n">
        <v>0.270646673838853</v>
      </c>
      <c r="G62" s="56" t="n">
        <v>0.1339012822374731</v>
      </c>
      <c r="H62" s="1" t="inlineStr">
        <is>
          <t>0,259x1+ 0,237x2+ 0,209x3+ 0,189x4+ 0,271x5+ -0,134x6</t>
        </is>
      </c>
    </row>
    <row r="63">
      <c r="A63" s="43" t="n">
        <v>62</v>
      </c>
      <c r="B63" s="53" t="n">
        <v>0.1985636527543432</v>
      </c>
      <c r="C63" s="53" t="n">
        <v>0.1605073821328142</v>
      </c>
      <c r="D63" s="53" t="n">
        <v>0.1173714689098652</v>
      </c>
      <c r="E63" s="53" t="n">
        <v>0.2122447225548146</v>
      </c>
      <c r="F63" s="53" t="n">
        <v>0.1015536583349882</v>
      </c>
      <c r="G63" s="56" t="n">
        <v>0.2567552564410088</v>
      </c>
      <c r="H63" s="1" t="inlineStr">
        <is>
          <t>0,199x1+ 0,161x2+ 0,117x3+ 0,212x4+ 0,102x5+ -0,257x6</t>
        </is>
      </c>
    </row>
    <row r="64">
      <c r="A64" s="43" t="n">
        <v>63</v>
      </c>
      <c r="B64" s="53" t="n">
        <v>0.06067934013561796</v>
      </c>
      <c r="C64" s="53" t="n">
        <v>0.05737666361408381</v>
      </c>
      <c r="D64" s="53" t="n">
        <v>0.1173714689098652</v>
      </c>
      <c r="E64" s="53" t="n">
        <v>0.1105496237398371</v>
      </c>
      <c r="F64" s="53" t="n">
        <v>0.1015536583349882</v>
      </c>
      <c r="G64" s="56" t="n">
        <v>0.158852729855506</v>
      </c>
      <c r="H64" s="1" t="inlineStr">
        <is>
          <t>0,061x1+ 0,057x2+ 0,117x3+ 0,111x4+ 0,102x5+ -0,159x6</t>
        </is>
      </c>
    </row>
    <row r="65">
      <c r="A65" s="43" t="n">
        <v>64</v>
      </c>
      <c r="B65" s="53" t="n">
        <v>0.2822711458951113</v>
      </c>
      <c r="C65" s="53" t="n">
        <v>0.212331678874112</v>
      </c>
      <c r="D65" s="53" t="n">
        <v>0.4531235911043056</v>
      </c>
      <c r="E65" s="53" t="n">
        <v>0.2490120155106896</v>
      </c>
      <c r="F65" s="53" t="n">
        <v>0.1783657868491324</v>
      </c>
      <c r="G65" s="56" t="n">
        <v>0.2958831531838094</v>
      </c>
      <c r="H65" s="1" t="inlineStr">
        <is>
          <t>0,282x1+ 0,212x2+ 0,453x3+ 0,249x4+ 0,178x5+ -0,296x6</t>
        </is>
      </c>
    </row>
    <row r="66">
      <c r="A66" s="43" t="n">
        <v>65</v>
      </c>
      <c r="B66" s="53" t="n">
        <v>0.1190538508732612</v>
      </c>
      <c r="C66" s="53" t="n">
        <v>0.1325408991239094</v>
      </c>
      <c r="D66" s="53" t="n">
        <v>0.3397852319256782</v>
      </c>
      <c r="E66" s="53" t="n">
        <v>0.3163892896909598</v>
      </c>
      <c r="F66" s="53" t="n">
        <v>0.2427815164509334</v>
      </c>
      <c r="G66" s="56" t="n">
        <v>0.1037612453176729</v>
      </c>
      <c r="H66" s="1" t="inlineStr">
        <is>
          <t>0,119x1+ 0,133x2+ 0,340x3+ 0,316x4+ 0,243x5+ -0,104x6</t>
        </is>
      </c>
    </row>
    <row r="67">
      <c r="A67" s="43" t="n">
        <v>66</v>
      </c>
      <c r="B67" s="53" t="n">
        <v>0.116788101821462</v>
      </c>
      <c r="C67" s="53" t="n">
        <v>0.07341827619397999</v>
      </c>
      <c r="D67" s="53" t="n">
        <v>0.3523249989769195</v>
      </c>
      <c r="E67" s="53" t="n">
        <v>0.3426589686514475</v>
      </c>
      <c r="F67" s="53" t="n">
        <v>0.1015536583349882</v>
      </c>
      <c r="G67" s="56" t="n">
        <v>0.2015641912814944</v>
      </c>
      <c r="H67" s="1" t="inlineStr">
        <is>
          <t>0,117x1+ 0,073x2+ 0,352x3+ 0,343x4+ 0,102x5+ -0,202x6</t>
        </is>
      </c>
    </row>
    <row r="68">
      <c r="A68" s="43" t="n">
        <v>67</v>
      </c>
      <c r="B68" s="53" t="n">
        <v>0.05206874285532222</v>
      </c>
      <c r="C68" s="53" t="n">
        <v>0.2508102984735225</v>
      </c>
      <c r="D68" s="53" t="n">
        <v>0.1173714689098652</v>
      </c>
      <c r="E68" s="53" t="n">
        <v>0.3225745742020562</v>
      </c>
      <c r="F68" s="53" t="n">
        <v>0.2294348465689806</v>
      </c>
      <c r="G68" s="56" t="n">
        <v>0.1483062414988889</v>
      </c>
      <c r="H68" s="1" t="inlineStr">
        <is>
          <t>0,052x1+ 0,251x2+ 0,117x3+ 0,323x4+ 0,229x5+ -0,148x6</t>
        </is>
      </c>
    </row>
    <row r="69">
      <c r="A69" s="43" t="n">
        <v>68</v>
      </c>
      <c r="B69" s="53" t="n">
        <v>0.2275823055470309</v>
      </c>
      <c r="C69" s="53" t="n">
        <v>0.05115908718075865</v>
      </c>
      <c r="D69" s="53" t="n">
        <v>0.1173714689098652</v>
      </c>
      <c r="E69" s="53" t="n">
        <v>0.190487712627865</v>
      </c>
      <c r="F69" s="53" t="n">
        <v>0.1015536583349882</v>
      </c>
      <c r="G69" s="56" t="n">
        <v>0.1037612453176729</v>
      </c>
      <c r="H69" s="1" t="inlineStr">
        <is>
          <t>0,228x1+ 0,051x2+ 0,117x3+ 0,190x4+ 0,102x5+ -0,104x6</t>
        </is>
      </c>
    </row>
    <row r="70">
      <c r="A70" s="43" t="n">
        <v>69</v>
      </c>
      <c r="B70" s="53" t="n">
        <v>0.1350232158513508</v>
      </c>
      <c r="C70" s="53" t="n">
        <v>0.1278212338298197</v>
      </c>
      <c r="D70" s="53" t="n">
        <v>0.4042249775055727</v>
      </c>
      <c r="E70" s="53" t="n">
        <v>0.2023482557567091</v>
      </c>
      <c r="F70" s="53" t="n">
        <v>0.1015536583349882</v>
      </c>
      <c r="G70" s="56" t="n">
        <v>0.111813182028243</v>
      </c>
      <c r="H70" s="1" t="inlineStr">
        <is>
          <t>0,135x1+ 0,128x2+ 0,404x3+ 0,202x4+ 0,102x5+ -0,112x6</t>
        </is>
      </c>
    </row>
    <row r="71">
      <c r="A71" s="43" t="n">
        <v>70</v>
      </c>
      <c r="B71" s="53" t="n">
        <v>0.227010823842685</v>
      </c>
      <c r="C71" s="53" t="n">
        <v>0.1996458305324074</v>
      </c>
      <c r="D71" s="53" t="n">
        <v>0.5536908197211771</v>
      </c>
      <c r="E71" s="53" t="n">
        <v>0.2028826042230593</v>
      </c>
      <c r="F71" s="53" t="n">
        <v>0.1564162547741986</v>
      </c>
      <c r="G71" s="56" t="n">
        <v>0.1526396386026478</v>
      </c>
      <c r="H71" s="1" t="inlineStr">
        <is>
          <t>0,227x1+ 0,200x2+ 0,554x3+ 0,203x4+ 0,156x5+ -0,153x6</t>
        </is>
      </c>
    </row>
    <row r="72">
      <c r="A72" s="43" t="n">
        <v>71</v>
      </c>
      <c r="B72" s="53" t="n">
        <v>0.131184031605715</v>
      </c>
      <c r="C72" s="53" t="n">
        <v>0.228946066233478</v>
      </c>
      <c r="D72" s="53" t="n">
        <v>0.2744553569690462</v>
      </c>
      <c r="E72" s="53" t="n">
        <v>0.1067200194772385</v>
      </c>
      <c r="F72" s="53" t="n">
        <v>0.1125509934157027</v>
      </c>
      <c r="G72" s="56" t="n">
        <v>0.2387384883482179</v>
      </c>
      <c r="H72" s="1" t="inlineStr">
        <is>
          <t>0,131x1+ 0,229x2+ 0,274x3+ 0,107x4+ 0,113x5+ -0,239x6</t>
        </is>
      </c>
    </row>
    <row r="73">
      <c r="A73" s="43" t="n">
        <v>72</v>
      </c>
      <c r="B73" s="53" t="n">
        <v>0.1897862689985608</v>
      </c>
      <c r="C73" s="53" t="n">
        <v>0.1877724136607012</v>
      </c>
      <c r="D73" s="53" t="n">
        <v>0.2016889073478641</v>
      </c>
      <c r="E73" s="53" t="n">
        <v>0.1067200194772385</v>
      </c>
      <c r="F73" s="53" t="n">
        <v>0.2850424594012925</v>
      </c>
      <c r="G73" s="56" t="n">
        <v>0.1738636544071493</v>
      </c>
      <c r="H73" s="1" t="inlineStr">
        <is>
          <t>0,190x1+ 0,188x2+ 0,202x3+ 0,107x4+ 0,285x5+ -0,174x6</t>
        </is>
      </c>
    </row>
    <row r="74">
      <c r="A74" s="43" t="n">
        <v>73</v>
      </c>
      <c r="B74" s="53" t="n">
        <v>0.06067934013561796</v>
      </c>
      <c r="C74" s="53" t="n">
        <v>0.1983424234667228</v>
      </c>
      <c r="D74" s="53" t="n">
        <v>0.5643492938709811</v>
      </c>
      <c r="E74" s="53" t="n">
        <v>0.1608528163036662</v>
      </c>
      <c r="F74" s="53" t="n">
        <v>0.1669863870565151</v>
      </c>
      <c r="G74" s="56" t="n">
        <v>0.2474810310322541</v>
      </c>
      <c r="H74" s="1" t="inlineStr">
        <is>
          <t>0,061x1+ 0,198x2+ 0,564x3+ 0,161x4+ 0,167x5+ -0,247x6</t>
        </is>
      </c>
    </row>
    <row r="75">
      <c r="A75" s="43" t="n">
        <v>74</v>
      </c>
      <c r="B75" s="53" t="n">
        <v>0.06042494763426247</v>
      </c>
      <c r="C75" s="53" t="n">
        <v>0.1607490228231916</v>
      </c>
      <c r="D75" s="53" t="n">
        <v>0.6187870730806744</v>
      </c>
      <c r="E75" s="53" t="n">
        <v>0.1067200194772385</v>
      </c>
      <c r="F75" s="53" t="n">
        <v>0.1015536583349882</v>
      </c>
      <c r="G75" s="56" t="n">
        <v>0.1824239835336998</v>
      </c>
      <c r="H75" s="1" t="inlineStr">
        <is>
          <t>0,060x1+ 0,161x2+ 0,619x3+ 0,107x4+ 0,102x5+ -0,182x6</t>
        </is>
      </c>
    </row>
    <row r="76">
      <c r="A76" s="43" t="n">
        <v>75</v>
      </c>
      <c r="B76" s="53" t="n">
        <v>0.06067934013561796</v>
      </c>
      <c r="C76" s="53" t="n">
        <v>0.1439975843668664</v>
      </c>
      <c r="D76" s="53" t="n">
        <v>0.3781865098260324</v>
      </c>
      <c r="E76" s="53" t="n">
        <v>0.2377859912718465</v>
      </c>
      <c r="F76" s="53" t="n">
        <v>0.1015536583349882</v>
      </c>
      <c r="G76" s="56" t="n">
        <v>0.2958831531838094</v>
      </c>
      <c r="H76" s="1" t="inlineStr">
        <is>
          <t>0,061x1+ 0,144x2+ 0,378x3+ 0,238x4+ 0,102x5+ -0,296x6</t>
        </is>
      </c>
    </row>
    <row r="77">
      <c r="A77" s="43" t="n">
        <v>76</v>
      </c>
      <c r="B77" s="53" t="n">
        <v>0.2201644859546123</v>
      </c>
      <c r="C77" s="53" t="n">
        <v>0.07341827619397999</v>
      </c>
      <c r="D77" s="53" t="n">
        <v>0.1173714689098652</v>
      </c>
      <c r="E77" s="53" t="n">
        <v>0.2162756256708755</v>
      </c>
      <c r="F77" s="53" t="n">
        <v>0.1015536583349882</v>
      </c>
      <c r="G77" s="56" t="n">
        <v>0.1337546584155765</v>
      </c>
      <c r="H77" s="1" t="inlineStr">
        <is>
          <t>0,220x1+ 0,073x2+ 0,117x3+ 0,216x4+ 0,102x5+ -0,134x6</t>
        </is>
      </c>
    </row>
    <row r="78">
      <c r="A78" s="43" t="n">
        <v>77</v>
      </c>
      <c r="B78" s="53" t="n">
        <v>0.1901295565725036</v>
      </c>
      <c r="C78" s="53" t="n">
        <v>0.2170766766474195</v>
      </c>
      <c r="D78" s="53" t="n">
        <v>0.1627356029269373</v>
      </c>
      <c r="E78" s="53" t="n">
        <v>0.1067200194772385</v>
      </c>
      <c r="F78" s="53" t="n">
        <v>0.1571381658567503</v>
      </c>
      <c r="G78" s="56" t="n">
        <v>0.2958831531838094</v>
      </c>
      <c r="H78" s="1" t="inlineStr">
        <is>
          <t>0,190x1+ 0,217x2+ 0,163x3+ 0,107x4+ 0,157x5+ -0,296x6</t>
        </is>
      </c>
    </row>
    <row r="79">
      <c r="A79" s="43" t="n">
        <v>78</v>
      </c>
      <c r="B79" s="53" t="n">
        <v>0.06067934013561796</v>
      </c>
      <c r="C79" s="53" t="n">
        <v>0.09863864266867195</v>
      </c>
      <c r="D79" s="53" t="n">
        <v>0.6280914609906461</v>
      </c>
      <c r="E79" s="53" t="n">
        <v>0.1067200194772385</v>
      </c>
      <c r="F79" s="53" t="n">
        <v>0.1579718681888442</v>
      </c>
      <c r="G79" s="56" t="n">
        <v>0.223874636619184</v>
      </c>
      <c r="H79" s="1" t="inlineStr">
        <is>
          <t>0,061x1+ 0,099x2+ 0,628x3+ 0,107x4+ 0,158x5+ -0,224x6</t>
        </is>
      </c>
    </row>
    <row r="80">
      <c r="A80" s="43" t="n">
        <v>79</v>
      </c>
      <c r="B80" s="53" t="n">
        <v>0.09640914032276496</v>
      </c>
      <c r="C80" s="53" t="n">
        <v>0.1178095021537309</v>
      </c>
      <c r="D80" s="53" t="n">
        <v>0.3630469543409947</v>
      </c>
      <c r="E80" s="53" t="n">
        <v>0.1787578657179677</v>
      </c>
      <c r="F80" s="53" t="n">
        <v>0.1015536583349882</v>
      </c>
      <c r="G80" s="56" t="n">
        <v>0.1037612453176729</v>
      </c>
      <c r="H80" s="1" t="inlineStr">
        <is>
          <t>0,096x1+ 0,118x2+ 0,363x3+ 0,179x4+ 0,102x5+ -0,104x6</t>
        </is>
      </c>
    </row>
    <row r="81">
      <c r="A81" s="43" t="n">
        <v>80</v>
      </c>
      <c r="B81" s="53" t="n">
        <v>0.2586271193854218</v>
      </c>
      <c r="C81" s="53" t="n">
        <v>0.08083688165642786</v>
      </c>
      <c r="D81" s="53" t="n">
        <v>0.6050930273572142</v>
      </c>
      <c r="E81" s="53" t="n">
        <v>0.257311032736162</v>
      </c>
      <c r="F81" s="53" t="n">
        <v>0.1722261835639485</v>
      </c>
      <c r="G81" s="56" t="n">
        <v>0.1081123450893785</v>
      </c>
      <c r="H81" s="1" t="inlineStr">
        <is>
          <t>0,259x1+ 0,081x2+ 0,605x3+ 0,257x4+ 0,172x5+ -0,108x6</t>
        </is>
      </c>
    </row>
    <row r="82">
      <c r="A82" s="43" t="n">
        <v>81</v>
      </c>
      <c r="B82" s="53" t="n">
        <v>0.2501653114705019</v>
      </c>
      <c r="C82" s="53" t="n">
        <v>0.1313251318496359</v>
      </c>
      <c r="D82" s="53" t="n">
        <v>0.1173714689098652</v>
      </c>
      <c r="E82" s="53" t="n">
        <v>0.1067200194772385</v>
      </c>
      <c r="F82" s="53" t="n">
        <v>0.1015536583349882</v>
      </c>
      <c r="G82" s="56" t="n">
        <v>0.1037612453176729</v>
      </c>
      <c r="H82" s="1" t="inlineStr">
        <is>
          <t>0,250x1+ 0,131x2+ 0,117x3+ 0,107x4+ 0,102x5+ -0,104x6</t>
        </is>
      </c>
    </row>
    <row r="83">
      <c r="A83" s="43" t="n">
        <v>82</v>
      </c>
      <c r="B83" s="53" t="n">
        <v>0.06067934013561796</v>
      </c>
      <c r="C83" s="53" t="n">
        <v>0.2317581568417193</v>
      </c>
      <c r="D83" s="53" t="n">
        <v>0.1035525026170963</v>
      </c>
      <c r="E83" s="53" t="n">
        <v>0.1341484941667232</v>
      </c>
      <c r="F83" s="53" t="n">
        <v>0.1015536583349882</v>
      </c>
      <c r="G83" s="56" t="n">
        <v>0.1792655343978667</v>
      </c>
      <c r="H83" s="1" t="inlineStr">
        <is>
          <t>0,061x1+ 0,232x2+ 0,104x3+ 0,134x4+ 0,102x5+ -0,179x6</t>
        </is>
      </c>
    </row>
    <row r="84">
      <c r="A84" s="43" t="n">
        <v>83</v>
      </c>
      <c r="B84" s="53" t="n">
        <v>0.2134582827006914</v>
      </c>
      <c r="C84" s="53" t="n">
        <v>0.1566577088736915</v>
      </c>
      <c r="D84" s="53" t="n">
        <v>0.1173714689098652</v>
      </c>
      <c r="E84" s="53" t="n">
        <v>0.1691795169840574</v>
      </c>
      <c r="F84" s="53" t="n">
        <v>0.1015536583349882</v>
      </c>
      <c r="G84" s="56" t="n">
        <v>0.1037612453176729</v>
      </c>
      <c r="H84" s="1" t="inlineStr">
        <is>
          <t>0,213x1+ 0,157x2+ 0,117x3+ 0,169x4+ 0,102x5+ -0,104x6</t>
        </is>
      </c>
    </row>
    <row r="85">
      <c r="A85" s="43" t="n">
        <v>84</v>
      </c>
      <c r="B85" s="53" t="n">
        <v>0.1887369497598379</v>
      </c>
      <c r="C85" s="53" t="n">
        <v>0.07341827619397999</v>
      </c>
      <c r="D85" s="53" t="n">
        <v>0.1173714689098652</v>
      </c>
      <c r="E85" s="53" t="n">
        <v>0.1067200194772385</v>
      </c>
      <c r="F85" s="53" t="n">
        <v>0.1015536583349882</v>
      </c>
      <c r="G85" s="56" t="n">
        <v>0.1329224790637355</v>
      </c>
      <c r="H85" s="1" t="inlineStr">
        <is>
          <t>0,189x1+ 0,073x2+ 0,117x3+ 0,107x4+ 0,102x5+ -0,133x6</t>
        </is>
      </c>
    </row>
    <row r="86">
      <c r="A86" s="43" t="n">
        <v>85</v>
      </c>
      <c r="B86" s="53" t="n">
        <v>0.2003073031203386</v>
      </c>
      <c r="C86" s="53" t="n">
        <v>0.08778631673129494</v>
      </c>
      <c r="D86" s="53" t="n">
        <v>0.1173714689098652</v>
      </c>
      <c r="E86" s="53" t="n">
        <v>0.1067200194772385</v>
      </c>
      <c r="F86" s="53" t="n">
        <v>0.1015536583349882</v>
      </c>
      <c r="G86" s="56" t="n">
        <v>0.2958831531838094</v>
      </c>
      <c r="H86" s="1" t="inlineStr">
        <is>
          <t>0,200x1+ 0,088x2+ 0,117x3+ 0,107x4+ 0,102x5+ -0,296x6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7"/>
  <sheetViews>
    <sheetView showGridLines="0" workbookViewId="0">
      <selection activeCell="A1" sqref="A1"/>
    </sheetView>
  </sheetViews>
  <sheetFormatPr baseColWidth="8" defaultColWidth="8.6640625" defaultRowHeight="14.4"/>
  <cols>
    <col width="8.6640625" customWidth="1" style="60" min="1" max="1"/>
    <col width="19" customWidth="1" style="3" min="2" max="2"/>
    <col width="13.6640625" customWidth="1" style="60" min="3" max="7"/>
    <col width="10.77734375" customWidth="1" style="60" min="8" max="8"/>
    <col width="43" customWidth="1" style="60" min="9" max="9"/>
    <col width="13.6640625" customWidth="1" style="60" min="10" max="10"/>
    <col width="16" customWidth="1" style="60" min="11" max="11"/>
    <col width="13.6640625" customWidth="1" style="60" min="12" max="14"/>
    <col width="12.109375" customWidth="1" style="60" min="15" max="15"/>
    <col width="13.109375" customWidth="1" style="60" min="16" max="16"/>
    <col width="11.77734375" customWidth="1" style="60" min="18" max="18"/>
  </cols>
  <sheetData>
    <row r="1">
      <c r="B1" s="35" t="inlineStr">
        <is>
          <t>Q1. Equal Weights</t>
        </is>
      </c>
      <c r="C1" s="34" t="n">
        <v>1</v>
      </c>
      <c r="D1" s="34" t="n">
        <v>1</v>
      </c>
      <c r="E1" s="34" t="n">
        <v>1</v>
      </c>
      <c r="F1" s="34" t="n">
        <v>1</v>
      </c>
      <c r="G1" s="34" t="n">
        <v>1</v>
      </c>
    </row>
    <row r="2">
      <c r="B2" s="35" t="inlineStr">
        <is>
          <t>Q2. Different Weights</t>
        </is>
      </c>
      <c r="C2" s="34" t="n">
        <v>1</v>
      </c>
      <c r="D2" s="34" t="n">
        <v>1</v>
      </c>
      <c r="E2" s="34" t="n">
        <v>1</v>
      </c>
      <c r="F2" s="34" t="n">
        <v>2</v>
      </c>
      <c r="G2" s="34" t="n">
        <v>2</v>
      </c>
    </row>
    <row r="3" ht="41.4" customHeight="1" s="60">
      <c r="B3" s="4" t="inlineStr">
        <is>
          <t>Supplier</t>
        </is>
      </c>
      <c r="C3" s="57" t="inlineStr">
        <is>
          <t>Environmental Risk</t>
        </is>
      </c>
      <c r="D3" s="57" t="inlineStr">
        <is>
          <t>Social Risk</t>
        </is>
      </c>
      <c r="E3" s="57" t="inlineStr">
        <is>
          <t>Cost Score</t>
        </is>
      </c>
      <c r="F3" s="57" t="inlineStr">
        <is>
          <t>Strategic Importance</t>
        </is>
      </c>
      <c r="G3" s="57" t="inlineStr">
        <is>
          <t>Improvement Potential</t>
        </is>
      </c>
      <c r="H3" s="16" t="inlineStr">
        <is>
          <t>Child Labor</t>
        </is>
      </c>
      <c r="I3" s="16" t="inlineStr">
        <is>
          <t>Banned Chemicals</t>
        </is>
      </c>
      <c r="J3" s="17" t="inlineStr">
        <is>
          <t>Low Product Quality</t>
        </is>
      </c>
      <c r="K3" s="33" t="inlineStr">
        <is>
          <t>Total Score</t>
        </is>
      </c>
      <c r="L3" s="14" t="inlineStr">
        <is>
          <t>Q1. Min Cost&amp; Enve&amp;Social Risk</t>
        </is>
      </c>
      <c r="M3" s="18" t="inlineStr">
        <is>
          <t xml:space="preserve">Q2. Max Improvement </t>
        </is>
      </c>
      <c r="R3" s="4" t="inlineStr">
        <is>
          <t>Supplier</t>
        </is>
      </c>
      <c r="S3" s="57" t="inlineStr">
        <is>
          <t>Environmental Risk</t>
        </is>
      </c>
      <c r="T3" s="57" t="inlineStr">
        <is>
          <t>Social Risk</t>
        </is>
      </c>
      <c r="U3" s="57" t="inlineStr">
        <is>
          <t>Cost Score</t>
        </is>
      </c>
      <c r="V3" s="57" t="inlineStr">
        <is>
          <t>Strategic Importance</t>
        </is>
      </c>
      <c r="W3" s="57" t="inlineStr">
        <is>
          <t>Improvement Potential</t>
        </is>
      </c>
      <c r="X3" s="17" t="inlineStr">
        <is>
          <t>Low Product Quality</t>
        </is>
      </c>
    </row>
    <row r="4">
      <c r="B4" s="10" t="inlineStr">
        <is>
          <t>A</t>
        </is>
      </c>
      <c r="C4" s="2" t="n">
        <v>2</v>
      </c>
      <c r="D4" s="2" t="n">
        <v>4</v>
      </c>
      <c r="E4" s="2" t="n">
        <v>1</v>
      </c>
      <c r="F4" s="2" t="n">
        <v>3</v>
      </c>
      <c r="G4" s="2" t="n">
        <v>4</v>
      </c>
      <c r="H4" s="6" t="n">
        <v>1</v>
      </c>
      <c r="I4" s="6" t="n">
        <v>0</v>
      </c>
      <c r="J4" s="6" t="n">
        <v>0</v>
      </c>
      <c r="K4" s="1">
        <f>SUM(C4:G4)</f>
        <v/>
      </c>
      <c r="L4" s="26">
        <f>SUMPRODUCT($C$1:$E$1,C4:E4)/SUM($C$1:$E$1)</f>
        <v/>
      </c>
      <c r="M4" s="26">
        <f>SUMPRODUCT(C4:G4,$C$2:$G$2)/SUM($C$2:$G$2)</f>
        <v/>
      </c>
      <c r="R4" s="10" t="inlineStr">
        <is>
          <t>A</t>
        </is>
      </c>
      <c r="S4" s="2" t="n">
        <v>2</v>
      </c>
      <c r="T4" s="2" t="n">
        <v>4</v>
      </c>
      <c r="U4" s="2" t="n">
        <v>1</v>
      </c>
      <c r="V4" s="2" t="n">
        <v>3</v>
      </c>
      <c r="W4" s="2" t="n">
        <v>4</v>
      </c>
      <c r="X4" s="6" t="n">
        <v>0</v>
      </c>
    </row>
    <row r="5">
      <c r="B5" s="10" t="inlineStr">
        <is>
          <t>B</t>
        </is>
      </c>
      <c r="C5" s="2" t="n">
        <v>3</v>
      </c>
      <c r="D5" s="2" t="n">
        <v>5</v>
      </c>
      <c r="E5" s="2" t="n">
        <v>2</v>
      </c>
      <c r="F5" s="2" t="n">
        <v>3</v>
      </c>
      <c r="G5" s="2" t="n">
        <v>3</v>
      </c>
      <c r="H5" s="6" t="n">
        <v>0</v>
      </c>
      <c r="I5" s="6" t="n">
        <v>0</v>
      </c>
      <c r="J5" s="6" t="n">
        <v>1</v>
      </c>
      <c r="K5" s="1">
        <f>SUM(C5:G5)</f>
        <v/>
      </c>
      <c r="L5" s="26">
        <f>SUMPRODUCT($C$1:$E$1,C5:E5)/SUM($C$1:$E$1)</f>
        <v/>
      </c>
      <c r="M5" s="26">
        <f>SUMPRODUCT(C5:G5,$C$2:$G$2)/SUM($C$2:$G$2)</f>
        <v/>
      </c>
      <c r="R5" s="10" t="inlineStr">
        <is>
          <t>B</t>
        </is>
      </c>
      <c r="S5" s="2" t="n">
        <v>3</v>
      </c>
      <c r="T5" s="2" t="n">
        <v>5</v>
      </c>
      <c r="U5" s="2" t="n">
        <v>2</v>
      </c>
      <c r="V5" s="2" t="n">
        <v>3</v>
      </c>
      <c r="W5" s="2" t="n">
        <v>3</v>
      </c>
      <c r="X5" s="6" t="n">
        <v>1</v>
      </c>
    </row>
    <row r="6">
      <c r="B6" s="10" t="inlineStr">
        <is>
          <t>C</t>
        </is>
      </c>
      <c r="C6" s="2" t="n">
        <v>2</v>
      </c>
      <c r="D6" s="2" t="n">
        <v>1</v>
      </c>
      <c r="E6" s="2" t="n">
        <v>3</v>
      </c>
      <c r="F6" s="2" t="n">
        <v>2</v>
      </c>
      <c r="G6" s="2" t="n">
        <v>3</v>
      </c>
      <c r="H6" s="6" t="n">
        <v>0</v>
      </c>
      <c r="I6" s="6" t="n">
        <v>1</v>
      </c>
      <c r="J6" s="6" t="n">
        <v>0</v>
      </c>
      <c r="K6" s="1">
        <f>SUM(C6:G6)</f>
        <v/>
      </c>
      <c r="L6" s="26">
        <f>SUMPRODUCT($C$1:$E$1,C6:E6)/SUM($C$1:$E$1)</f>
        <v/>
      </c>
      <c r="M6" s="26">
        <f>SUMPRODUCT(C6:G6,$C$2:$G$2)/SUM($C$2:$G$2)</f>
        <v/>
      </c>
      <c r="R6" s="10" t="inlineStr">
        <is>
          <t>C</t>
        </is>
      </c>
      <c r="S6" s="2" t="n">
        <v>2</v>
      </c>
      <c r="T6" s="2" t="n">
        <v>1</v>
      </c>
      <c r="U6" s="2" t="n">
        <v>3</v>
      </c>
      <c r="V6" s="2" t="n">
        <v>2</v>
      </c>
      <c r="W6" s="2" t="n">
        <v>3</v>
      </c>
      <c r="X6" s="6" t="n">
        <v>0</v>
      </c>
    </row>
    <row r="7">
      <c r="B7" s="10" t="inlineStr">
        <is>
          <t>D</t>
        </is>
      </c>
      <c r="C7" s="2" t="n">
        <v>2</v>
      </c>
      <c r="D7" s="2" t="n">
        <v>2</v>
      </c>
      <c r="E7" s="2" t="n">
        <v>5</v>
      </c>
      <c r="F7" s="2" t="n">
        <v>2</v>
      </c>
      <c r="G7" s="2" t="n">
        <v>2</v>
      </c>
      <c r="H7" s="6" t="n">
        <v>0</v>
      </c>
      <c r="I7" s="6" t="n">
        <v>0</v>
      </c>
      <c r="J7" s="6" t="n">
        <v>0</v>
      </c>
      <c r="K7" s="1">
        <f>SUM(C7:G7)</f>
        <v/>
      </c>
      <c r="L7" s="26">
        <f>SUMPRODUCT($C$1:$E$1,C7:E7)/SUM($C$1:$E$1)</f>
        <v/>
      </c>
      <c r="M7" s="26">
        <f>SUMPRODUCT(C7:G7,$C$2:$G$2)/SUM($C$2:$G$2)</f>
        <v/>
      </c>
      <c r="R7" s="10" t="inlineStr">
        <is>
          <t>D</t>
        </is>
      </c>
      <c r="S7" s="2" t="n">
        <v>2</v>
      </c>
      <c r="T7" s="2" t="n">
        <v>2</v>
      </c>
      <c r="U7" s="2" t="n">
        <v>5</v>
      </c>
      <c r="V7" s="2" t="n">
        <v>2</v>
      </c>
      <c r="W7" s="2" t="n">
        <v>2</v>
      </c>
      <c r="X7" s="6" t="n">
        <v>0</v>
      </c>
    </row>
    <row r="8">
      <c r="B8" s="10" t="inlineStr">
        <is>
          <t>E</t>
        </is>
      </c>
      <c r="C8" s="2" t="n">
        <v>3</v>
      </c>
      <c r="D8" s="2" t="n">
        <v>4</v>
      </c>
      <c r="E8" s="2" t="n">
        <v>3</v>
      </c>
      <c r="F8" s="2" t="n">
        <v>2</v>
      </c>
      <c r="G8" s="2" t="n">
        <v>5</v>
      </c>
      <c r="H8" s="6" t="n">
        <v>0</v>
      </c>
      <c r="I8" s="6" t="n">
        <v>0</v>
      </c>
      <c r="J8" s="6" t="n">
        <v>1</v>
      </c>
      <c r="K8" s="1">
        <f>SUM(C8:G8)</f>
        <v/>
      </c>
      <c r="L8" s="26">
        <f>SUMPRODUCT($C$1:$E$1,C8:E8)/SUM($C$1:$E$1)</f>
        <v/>
      </c>
      <c r="M8" s="26">
        <f>SUMPRODUCT(C8:G8,$C$2:$G$2)/SUM($C$2:$G$2)</f>
        <v/>
      </c>
      <c r="R8" s="10" t="inlineStr">
        <is>
          <t>E</t>
        </is>
      </c>
      <c r="S8" s="2" t="n">
        <v>3</v>
      </c>
      <c r="T8" s="2" t="n">
        <v>4</v>
      </c>
      <c r="U8" s="2" t="n">
        <v>3</v>
      </c>
      <c r="V8" s="2" t="n">
        <v>2</v>
      </c>
      <c r="W8" s="2" t="n">
        <v>5</v>
      </c>
      <c r="X8" s="6" t="n">
        <v>1</v>
      </c>
    </row>
    <row r="9">
      <c r="B9" s="10" t="inlineStr">
        <is>
          <t>F</t>
        </is>
      </c>
      <c r="C9" s="2" t="n">
        <v>5</v>
      </c>
      <c r="D9" s="2" t="n">
        <v>4</v>
      </c>
      <c r="E9" s="2" t="n">
        <v>2</v>
      </c>
      <c r="F9" s="2" t="n">
        <v>4</v>
      </c>
      <c r="G9" s="2" t="n">
        <v>4</v>
      </c>
      <c r="H9" s="6" t="n">
        <v>1</v>
      </c>
      <c r="I9" s="6" t="n">
        <v>1</v>
      </c>
      <c r="J9" s="6" t="n">
        <v>0</v>
      </c>
      <c r="K9" s="1">
        <f>SUM(C9:G9)</f>
        <v/>
      </c>
      <c r="L9" s="26">
        <f>SUMPRODUCT($C$1:$E$1,C9:E9)/SUM($C$1:$E$1)</f>
        <v/>
      </c>
      <c r="M9" s="26">
        <f>SUMPRODUCT(C9:G9,$C$2:$G$2)/SUM($C$2:$G$2)</f>
        <v/>
      </c>
      <c r="R9" s="10" t="inlineStr">
        <is>
          <t>F</t>
        </is>
      </c>
      <c r="S9" s="2" t="n">
        <v>5</v>
      </c>
      <c r="T9" s="2" t="n">
        <v>4</v>
      </c>
      <c r="U9" s="2" t="n">
        <v>2</v>
      </c>
      <c r="V9" s="2" t="n">
        <v>4</v>
      </c>
      <c r="W9" s="2" t="n">
        <v>4</v>
      </c>
      <c r="X9" s="6" t="n">
        <v>0</v>
      </c>
    </row>
    <row r="10">
      <c r="B10" s="10" t="inlineStr">
        <is>
          <t>G</t>
        </is>
      </c>
      <c r="C10" s="2" t="n">
        <v>2</v>
      </c>
      <c r="D10" s="2" t="n">
        <v>1</v>
      </c>
      <c r="E10" s="2" t="n">
        <v>3</v>
      </c>
      <c r="F10" s="2" t="n">
        <v>3</v>
      </c>
      <c r="G10" s="2" t="n">
        <v>3</v>
      </c>
      <c r="H10" s="6" t="n">
        <v>0</v>
      </c>
      <c r="I10" s="6" t="n">
        <v>0</v>
      </c>
      <c r="J10" s="6" t="n">
        <v>0</v>
      </c>
      <c r="K10" s="1">
        <f>SUM(C10:G10)</f>
        <v/>
      </c>
      <c r="L10" s="26">
        <f>SUMPRODUCT($C$1:$E$1,C10:E10)/SUM($C$1:$E$1)</f>
        <v/>
      </c>
      <c r="M10" s="26">
        <f>SUMPRODUCT(C10:G10,$C$2:$G$2)/SUM($C$2:$G$2)</f>
        <v/>
      </c>
      <c r="R10" s="10" t="inlineStr">
        <is>
          <t>G</t>
        </is>
      </c>
      <c r="S10" s="2" t="n">
        <v>2</v>
      </c>
      <c r="T10" s="2" t="n">
        <v>1</v>
      </c>
      <c r="U10" s="2" t="n">
        <v>3</v>
      </c>
      <c r="V10" s="2" t="n">
        <v>3</v>
      </c>
      <c r="W10" s="2" t="n">
        <v>3</v>
      </c>
      <c r="X10" s="6" t="n">
        <v>0</v>
      </c>
    </row>
    <row r="12">
      <c r="B12" s="62" t="inlineStr">
        <is>
          <t>Rank</t>
        </is>
      </c>
      <c r="C12" s="65" t="inlineStr">
        <is>
          <t>Environmental Risk</t>
        </is>
      </c>
      <c r="D12" s="63" t="inlineStr">
        <is>
          <t>Social Risk</t>
        </is>
      </c>
      <c r="E12" s="63" t="inlineStr">
        <is>
          <t>Cost Score</t>
        </is>
      </c>
      <c r="F12" s="63" t="inlineStr">
        <is>
          <t>Strategic Importance</t>
        </is>
      </c>
      <c r="G12" s="70" t="inlineStr">
        <is>
          <t>Improvement Potential</t>
        </is>
      </c>
      <c r="J12" s="19" t="inlineStr">
        <is>
          <t>Q1</t>
        </is>
      </c>
      <c r="K12" s="21" t="inlineStr">
        <is>
          <t>Q2</t>
        </is>
      </c>
      <c r="L12" s="20" t="inlineStr">
        <is>
          <t>Q3</t>
        </is>
      </c>
    </row>
    <row r="13" ht="34.95" customHeight="1" s="60">
      <c r="B13" s="58" t="n"/>
      <c r="C13" s="66" t="n"/>
      <c r="D13" s="64" t="n"/>
      <c r="E13" s="64" t="n"/>
      <c r="F13" s="64" t="n"/>
      <c r="G13" s="71" t="n"/>
      <c r="J13" s="19" t="inlineStr">
        <is>
          <t>Min Cost + Enve&amp;Social Risk</t>
        </is>
      </c>
      <c r="K13" s="22" t="inlineStr">
        <is>
          <t>Min Cost + Max Improvement</t>
        </is>
      </c>
      <c r="L13" s="17" t="inlineStr">
        <is>
          <t>Min Cost/No Quality Issues</t>
        </is>
      </c>
      <c r="R13" s="44" t="inlineStr">
        <is>
          <t>Policy</t>
        </is>
      </c>
      <c r="S13" s="48" t="n">
        <v>1</v>
      </c>
      <c r="T13" s="48" t="n">
        <v>1</v>
      </c>
      <c r="U13" s="48" t="n">
        <v>1</v>
      </c>
      <c r="V13" s="48" t="n">
        <v>1</v>
      </c>
      <c r="W13" s="48" t="n">
        <v>1</v>
      </c>
      <c r="X13" s="49" t="n">
        <v>1</v>
      </c>
    </row>
    <row r="14">
      <c r="B14" s="62" t="inlineStr">
        <is>
          <t>Supplier 1</t>
        </is>
      </c>
      <c r="C14" s="2">
        <f t="array" ref="C14:C20">_xlfn.SORTBY($B$4:$B$10, C4:C10, 1)</f>
        <v/>
      </c>
      <c r="D14" s="2">
        <f t="array" ref="D14:D20">_xlfn.SORTBY(B4:B10,D4:D10)</f>
        <v/>
      </c>
      <c r="E14" s="2">
        <f t="array" ref="E14:E20">_xlfn.SORTBY(B4:B10,E4:E10)</f>
        <v/>
      </c>
      <c r="F14" s="2">
        <f t="array" ref="F14:F20">_xlfn.SORTBY(B4:B10,F4:F10)</f>
        <v/>
      </c>
      <c r="G14" s="2">
        <f t="array" ref="G14:G20">_xlfn.SORTBY(B4:B10,G4:G10)</f>
        <v/>
      </c>
      <c r="J14" s="11">
        <f t="array" ref="J14:J20">_xlfn.SORTBY(B4:B10,L4:L10)</f>
        <v/>
      </c>
      <c r="K14" s="38">
        <f t="array" ref="K14:K20">_xlfn.SORTBY(B4:B10,M4:M10)</f>
        <v/>
      </c>
      <c r="L14" s="37" t="inlineStr">
        <is>
          <t>A</t>
        </is>
      </c>
      <c r="Q14" s="8" t="n"/>
      <c r="R14" s="8" t="n"/>
    </row>
    <row r="15">
      <c r="B15" s="62" t="inlineStr">
        <is>
          <t>Supplier 2</t>
        </is>
      </c>
      <c r="C15" s="2" t="inlineStr">
        <is>
          <t>C</t>
        </is>
      </c>
      <c r="D15" s="2" t="inlineStr">
        <is>
          <t>G</t>
        </is>
      </c>
      <c r="E15" s="2" t="inlineStr">
        <is>
          <t>B</t>
        </is>
      </c>
      <c r="F15" s="2" t="inlineStr">
        <is>
          <t>D</t>
        </is>
      </c>
      <c r="G15" s="2" t="inlineStr">
        <is>
          <t>B</t>
        </is>
      </c>
      <c r="J15" s="36" t="inlineStr">
        <is>
          <t>G</t>
        </is>
      </c>
      <c r="K15" s="31" t="inlineStr">
        <is>
          <t>D</t>
        </is>
      </c>
      <c r="L15" s="32" t="inlineStr">
        <is>
          <t>B</t>
        </is>
      </c>
      <c r="M15" s="28" t="inlineStr">
        <is>
          <t>quality issues</t>
        </is>
      </c>
      <c r="Q15" s="8" t="n"/>
      <c r="R15" s="8" t="n"/>
    </row>
    <row r="16">
      <c r="B16" s="62" t="inlineStr">
        <is>
          <t>Supplier 3</t>
        </is>
      </c>
      <c r="C16" s="2" t="inlineStr">
        <is>
          <t>D</t>
        </is>
      </c>
      <c r="D16" s="2" t="inlineStr">
        <is>
          <t>D</t>
        </is>
      </c>
      <c r="E16" s="2" t="inlineStr">
        <is>
          <t>F</t>
        </is>
      </c>
      <c r="F16" s="2" t="inlineStr">
        <is>
          <t>E</t>
        </is>
      </c>
      <c r="G16" s="2" t="inlineStr">
        <is>
          <t>C</t>
        </is>
      </c>
      <c r="J16" s="24" t="inlineStr">
        <is>
          <t>A</t>
        </is>
      </c>
      <c r="K16" s="1" t="inlineStr">
        <is>
          <t>G</t>
        </is>
      </c>
      <c r="L16" s="37" t="inlineStr">
        <is>
          <t>F</t>
        </is>
      </c>
      <c r="Q16" s="8" t="n"/>
      <c r="R16" s="8" t="n"/>
    </row>
    <row r="17" ht="55.2" customHeight="1" s="60">
      <c r="A17" s="5" t="n"/>
      <c r="B17" s="62" t="inlineStr">
        <is>
          <t>Supplier 4</t>
        </is>
      </c>
      <c r="C17" s="2" t="inlineStr">
        <is>
          <t>G</t>
        </is>
      </c>
      <c r="D17" s="2" t="inlineStr">
        <is>
          <t>A</t>
        </is>
      </c>
      <c r="E17" s="2" t="inlineStr">
        <is>
          <t>C</t>
        </is>
      </c>
      <c r="F17" s="2" t="inlineStr">
        <is>
          <t>A</t>
        </is>
      </c>
      <c r="G17" s="2" t="inlineStr">
        <is>
          <t>G</t>
        </is>
      </c>
      <c r="J17" s="27" t="inlineStr">
        <is>
          <t>D</t>
        </is>
      </c>
      <c r="K17" s="25" t="inlineStr">
        <is>
          <t>A</t>
        </is>
      </c>
      <c r="L17" s="25" t="inlineStr">
        <is>
          <t>C</t>
        </is>
      </c>
      <c r="Q17" s="8" t="n"/>
      <c r="R17" s="4" t="inlineStr">
        <is>
          <t>Supplier</t>
        </is>
      </c>
      <c r="S17" s="57" t="inlineStr">
        <is>
          <t>Environmental Risk</t>
        </is>
      </c>
      <c r="T17" s="57" t="inlineStr">
        <is>
          <t>Social Risk</t>
        </is>
      </c>
      <c r="U17" s="57" t="inlineStr">
        <is>
          <t>Cost Score</t>
        </is>
      </c>
      <c r="V17" s="57" t="inlineStr">
        <is>
          <t>Strategic Importance</t>
        </is>
      </c>
      <c r="W17" s="57" t="inlineStr">
        <is>
          <t>Improvement Potential</t>
        </is>
      </c>
      <c r="X17" s="17" t="inlineStr">
        <is>
          <t>Low Product Quality</t>
        </is>
      </c>
      <c r="Y17" s="33" t="inlineStr">
        <is>
          <t>Total Score</t>
        </is>
      </c>
      <c r="Z17" s="14" t="inlineStr">
        <is>
          <t>Q1. Min Cost&amp; Enve&amp;Social Risk</t>
        </is>
      </c>
      <c r="AA17" s="18" t="inlineStr">
        <is>
          <t xml:space="preserve">Q2. Max Improvement </t>
        </is>
      </c>
    </row>
    <row r="18">
      <c r="A18" s="5" t="n"/>
      <c r="B18" s="62" t="inlineStr">
        <is>
          <t>Supplier 5</t>
        </is>
      </c>
      <c r="C18" s="2" t="inlineStr">
        <is>
          <t>B</t>
        </is>
      </c>
      <c r="D18" s="2" t="inlineStr">
        <is>
          <t>E</t>
        </is>
      </c>
      <c r="E18" s="2" t="inlineStr">
        <is>
          <t>E</t>
        </is>
      </c>
      <c r="F18" s="2" t="inlineStr">
        <is>
          <t>B</t>
        </is>
      </c>
      <c r="G18" s="2" t="inlineStr">
        <is>
          <t>A</t>
        </is>
      </c>
      <c r="J18" s="30" t="inlineStr">
        <is>
          <t>B</t>
        </is>
      </c>
      <c r="K18" s="29" t="inlineStr">
        <is>
          <t>B</t>
        </is>
      </c>
      <c r="L18" s="32" t="inlineStr">
        <is>
          <t>E</t>
        </is>
      </c>
      <c r="M18" s="28" t="inlineStr">
        <is>
          <t>quality issues</t>
        </is>
      </c>
      <c r="R18" s="10" t="inlineStr">
        <is>
          <t>A</t>
        </is>
      </c>
      <c r="S18" s="2">
        <f>C4*S$13</f>
        <v/>
      </c>
      <c r="T18" s="2">
        <f>D4*T$13</f>
        <v/>
      </c>
      <c r="U18" s="2">
        <f>E4*U$13</f>
        <v/>
      </c>
      <c r="V18" s="2">
        <f>F4*V$13</f>
        <v/>
      </c>
      <c r="W18" s="2">
        <f>G4*W$13</f>
        <v/>
      </c>
      <c r="X18" s="6">
        <f>X$13*J4</f>
        <v/>
      </c>
      <c r="Y18" s="1">
        <f>SUM(S18:W18)</f>
        <v/>
      </c>
      <c r="Z18" s="26">
        <f>SUMPRODUCT($C$1:$E$1,S18:U18)/SUM($C$1:$E$1)</f>
        <v/>
      </c>
      <c r="AA18" s="26">
        <f>SUMPRODUCT(S18:W18,$C$2:$G$2)/SUM($C$2:$G$2)</f>
        <v/>
      </c>
    </row>
    <row r="19">
      <c r="A19" s="5" t="n"/>
      <c r="B19" s="62" t="inlineStr">
        <is>
          <t>Supplier 6</t>
        </is>
      </c>
      <c r="C19" s="2" t="inlineStr">
        <is>
          <t>E</t>
        </is>
      </c>
      <c r="D19" s="2" t="inlineStr">
        <is>
          <t>F</t>
        </is>
      </c>
      <c r="E19" s="2" t="inlineStr">
        <is>
          <t>G</t>
        </is>
      </c>
      <c r="F19" s="2" t="inlineStr">
        <is>
          <t>G</t>
        </is>
      </c>
      <c r="G19" s="2" t="inlineStr">
        <is>
          <t>F</t>
        </is>
      </c>
      <c r="J19" s="30" t="inlineStr">
        <is>
          <t>E</t>
        </is>
      </c>
      <c r="K19" s="29" t="inlineStr">
        <is>
          <t>E</t>
        </is>
      </c>
      <c r="L19" s="23" t="inlineStr">
        <is>
          <t>G</t>
        </is>
      </c>
      <c r="R19" s="10" t="inlineStr">
        <is>
          <t>B</t>
        </is>
      </c>
      <c r="S19" s="2">
        <f>C5*S$13</f>
        <v/>
      </c>
      <c r="T19" s="2">
        <f>D5*T$13</f>
        <v/>
      </c>
      <c r="U19" s="2">
        <f>E5*U$13</f>
        <v/>
      </c>
      <c r="V19" s="2">
        <f>F5*V$13</f>
        <v/>
      </c>
      <c r="W19" s="2">
        <f>G5*W$13</f>
        <v/>
      </c>
      <c r="X19" s="6">
        <f>X$13*J5</f>
        <v/>
      </c>
      <c r="Y19" s="1">
        <f>SUM(S19:W19)</f>
        <v/>
      </c>
      <c r="Z19" s="26">
        <f>SUMPRODUCT($C$1:$E$1,S19:U19)/SUM($C$1:$E$1)</f>
        <v/>
      </c>
      <c r="AA19" s="26">
        <f>SUMPRODUCT(S19:W19,$C$2:$G$2)/SUM($C$2:$G$2)</f>
        <v/>
      </c>
    </row>
    <row r="20">
      <c r="B20" s="62" t="inlineStr">
        <is>
          <t>Supplier 7</t>
        </is>
      </c>
      <c r="C20" s="2" t="inlineStr">
        <is>
          <t>F</t>
        </is>
      </c>
      <c r="D20" s="2" t="inlineStr">
        <is>
          <t>B</t>
        </is>
      </c>
      <c r="E20" s="2" t="inlineStr">
        <is>
          <t>D</t>
        </is>
      </c>
      <c r="F20" s="2" t="inlineStr">
        <is>
          <t>F</t>
        </is>
      </c>
      <c r="G20" s="2" t="inlineStr">
        <is>
          <t>E</t>
        </is>
      </c>
      <c r="J20" s="24" t="inlineStr">
        <is>
          <t>F</t>
        </is>
      </c>
      <c r="K20" s="25" t="inlineStr">
        <is>
          <t>F</t>
        </is>
      </c>
      <c r="L20" s="23" t="inlineStr">
        <is>
          <t>D</t>
        </is>
      </c>
      <c r="R20" s="10" t="inlineStr">
        <is>
          <t>C</t>
        </is>
      </c>
      <c r="S20" s="2">
        <f>C6*S$13</f>
        <v/>
      </c>
      <c r="T20" s="2">
        <f>D6*T$13</f>
        <v/>
      </c>
      <c r="U20" s="2">
        <f>E6*U$13</f>
        <v/>
      </c>
      <c r="V20" s="2">
        <f>F6*V$13</f>
        <v/>
      </c>
      <c r="W20" s="2">
        <f>G6*W$13</f>
        <v/>
      </c>
      <c r="X20" s="6">
        <f>X$13*J6</f>
        <v/>
      </c>
      <c r="Y20" s="1">
        <f>SUM(S20:W20)</f>
        <v/>
      </c>
      <c r="Z20" s="26">
        <f>SUMPRODUCT($C$1:$E$1,S20:U20)/SUM($C$1:$E$1)</f>
        <v/>
      </c>
      <c r="AA20" s="26">
        <f>SUMPRODUCT(S20:W20,$C$2:$G$2)/SUM($C$2:$G$2)</f>
        <v/>
      </c>
    </row>
    <row r="21">
      <c r="I21" s="39" t="inlineStr">
        <is>
          <t>Selected Ones</t>
        </is>
      </c>
      <c r="J21" s="40" t="inlineStr">
        <is>
          <t>C &amp; G</t>
        </is>
      </c>
      <c r="K21" s="40" t="inlineStr">
        <is>
          <t>C &amp; D</t>
        </is>
      </c>
      <c r="L21" s="40" t="inlineStr">
        <is>
          <t>A &amp; F</t>
        </is>
      </c>
      <c r="R21" s="10" t="inlineStr">
        <is>
          <t>D</t>
        </is>
      </c>
      <c r="S21" s="2">
        <f>C7*S$13</f>
        <v/>
      </c>
      <c r="T21" s="2">
        <f>D7*T$13</f>
        <v/>
      </c>
      <c r="U21" s="2">
        <f>E7*U$13</f>
        <v/>
      </c>
      <c r="V21" s="2">
        <f>F7*V$13</f>
        <v/>
      </c>
      <c r="W21" s="2">
        <f>G7*W$13</f>
        <v/>
      </c>
      <c r="X21" s="6">
        <f>X$13*J7</f>
        <v/>
      </c>
      <c r="Y21" s="1">
        <f>SUM(S21:W21)</f>
        <v/>
      </c>
      <c r="Z21" s="26">
        <f>SUMPRODUCT($C$1:$E$1,S21:U21)/SUM($C$1:$E$1)</f>
        <v/>
      </c>
      <c r="AA21" s="26">
        <f>SUMPRODUCT(S21:W21,$C$2:$G$2)/SUM($C$2:$G$2)</f>
        <v/>
      </c>
    </row>
    <row r="22">
      <c r="R22" s="10" t="inlineStr">
        <is>
          <t>E</t>
        </is>
      </c>
      <c r="S22" s="2">
        <f>C8*S$13</f>
        <v/>
      </c>
      <c r="T22" s="2">
        <f>D8*T$13</f>
        <v/>
      </c>
      <c r="U22" s="2">
        <f>E8*U$13</f>
        <v/>
      </c>
      <c r="V22" s="2">
        <f>F8*V$13</f>
        <v/>
      </c>
      <c r="W22" s="2">
        <f>G8*W$13</f>
        <v/>
      </c>
      <c r="X22" s="6">
        <f>X$13*J8</f>
        <v/>
      </c>
      <c r="Y22" s="1">
        <f>SUM(S22:W22)</f>
        <v/>
      </c>
      <c r="Z22" s="26">
        <f>SUMPRODUCT($C$1:$E$1,S22:U22)/SUM($C$1:$E$1)</f>
        <v/>
      </c>
      <c r="AA22" s="26">
        <f>SUMPRODUCT(S22:W22,$C$2:$G$2)/SUM($C$2:$G$2)</f>
        <v/>
      </c>
    </row>
    <row r="23">
      <c r="R23" s="10" t="inlineStr">
        <is>
          <t>F</t>
        </is>
      </c>
      <c r="S23" s="2">
        <f>C9*S$13</f>
        <v/>
      </c>
      <c r="T23" s="2">
        <f>D9*T$13</f>
        <v/>
      </c>
      <c r="U23" s="2">
        <f>E9*U$13</f>
        <v/>
      </c>
      <c r="V23" s="2">
        <f>F9*V$13</f>
        <v/>
      </c>
      <c r="W23" s="2">
        <f>G9*W$13</f>
        <v/>
      </c>
      <c r="X23" s="6">
        <f>X$13*J9</f>
        <v/>
      </c>
      <c r="Y23" s="1">
        <f>SUM(S23:W23)</f>
        <v/>
      </c>
      <c r="Z23" s="26">
        <f>SUMPRODUCT($C$1:$E$1,S23:U23)/SUM($C$1:$E$1)</f>
        <v/>
      </c>
      <c r="AA23" s="26">
        <f>SUMPRODUCT(S23:W23,$C$2:$G$2)/SUM($C$2:$G$2)</f>
        <v/>
      </c>
    </row>
    <row r="24" ht="41.4" customHeight="1" s="60">
      <c r="B24" s="42" t="inlineStr">
        <is>
          <t>Users</t>
        </is>
      </c>
      <c r="C24" s="57" t="inlineStr">
        <is>
          <t>Environmental Risk</t>
        </is>
      </c>
      <c r="D24" s="57" t="inlineStr">
        <is>
          <t>Social Risk</t>
        </is>
      </c>
      <c r="E24" s="57" t="inlineStr">
        <is>
          <t>Cost Score</t>
        </is>
      </c>
      <c r="F24" s="57" t="inlineStr">
        <is>
          <t>Strategic Importance</t>
        </is>
      </c>
      <c r="G24" s="57" t="inlineStr">
        <is>
          <t>Improvement Potential</t>
        </is>
      </c>
      <c r="H24" s="17" t="inlineStr">
        <is>
          <t>Low Product Quality</t>
        </is>
      </c>
      <c r="I24" s="57" t="inlineStr">
        <is>
          <t>Utility Function</t>
        </is>
      </c>
      <c r="R24" s="10" t="inlineStr">
        <is>
          <t>G</t>
        </is>
      </c>
      <c r="S24" s="2">
        <f>C10*S$13</f>
        <v/>
      </c>
      <c r="T24" s="2">
        <f>D10*T$13</f>
        <v/>
      </c>
      <c r="U24" s="2">
        <f>E10*U$13</f>
        <v/>
      </c>
      <c r="V24" s="2">
        <f>F10*V$13</f>
        <v/>
      </c>
      <c r="W24" s="2">
        <f>G10*W$13</f>
        <v/>
      </c>
      <c r="X24" s="6">
        <f>X$13*J10</f>
        <v/>
      </c>
      <c r="Y24" s="1">
        <f>SUM(S24:W24)</f>
        <v/>
      </c>
      <c r="Z24" s="26">
        <f>SUMPRODUCT($C$1:$E$1,S24:U24)/SUM($C$1:$E$1)</f>
        <v/>
      </c>
      <c r="AA24" s="26">
        <f>SUMPRODUCT(S24:W24,$C$2:$G$2)/SUM($C$2:$G$2)</f>
        <v/>
      </c>
    </row>
    <row r="25">
      <c r="B25" s="43" t="n">
        <v>1</v>
      </c>
      <c r="C25" s="2" t="n">
        <v>0.3</v>
      </c>
      <c r="D25" s="2" t="n">
        <v>0.2</v>
      </c>
      <c r="E25" s="2" t="n">
        <v>0.4</v>
      </c>
      <c r="F25" s="2" t="n">
        <v>0.1</v>
      </c>
      <c r="G25" s="2" t="n">
        <v>0.1</v>
      </c>
      <c r="H25" s="6" t="n">
        <v>0.2</v>
      </c>
      <c r="I25" s="1">
        <f>C25&amp;"x1+ "&amp;D25&amp;"x2+ "&amp;E25&amp;"x3+ "&amp;F25&amp;"x4+ "&amp;G25&amp;"x5+ -"&amp;H25&amp;"x6"</f>
        <v/>
      </c>
    </row>
    <row r="26">
      <c r="B26" s="43" t="n">
        <v>2</v>
      </c>
      <c r="C26" s="2" t="n">
        <v>0.25</v>
      </c>
      <c r="D26" s="2" t="n">
        <v>0.15</v>
      </c>
      <c r="E26" s="2" t="n">
        <v>0.1</v>
      </c>
      <c r="F26" s="2" t="n">
        <v>0.1</v>
      </c>
      <c r="G26" s="2" t="n">
        <v>0.1</v>
      </c>
      <c r="H26" s="6" t="n">
        <v>0.3</v>
      </c>
      <c r="I26" s="1">
        <f>C26&amp;"x1+ "&amp;D26&amp;"x2+ "&amp;E26&amp;"x3+ "&amp;F26&amp;"x4+ "&amp;G26&amp;"x5+ -"&amp;H26&amp;"x6"</f>
        <v/>
      </c>
    </row>
    <row r="27" ht="41.4" customHeight="1" s="60">
      <c r="B27" s="43" t="n">
        <v>3</v>
      </c>
      <c r="C27" s="2" t="n">
        <v>0.15</v>
      </c>
      <c r="D27" s="2" t="n">
        <v>0.3</v>
      </c>
      <c r="E27" s="2" t="n">
        <v>0.1</v>
      </c>
      <c r="F27" s="2" t="n">
        <v>0.1</v>
      </c>
      <c r="G27" s="2" t="n">
        <v>0.15</v>
      </c>
      <c r="H27" s="6" t="n">
        <v>0.2</v>
      </c>
      <c r="I27" s="1">
        <f>C27&amp;"x1+ "&amp;D27&amp;"x2+ "&amp;E27&amp;"x3+ "&amp;F27&amp;"x4+ "&amp;G27&amp;"x5+ -"&amp;H27&amp;"x6"</f>
        <v/>
      </c>
      <c r="R27" s="4" t="inlineStr">
        <is>
          <t>Supplier</t>
        </is>
      </c>
      <c r="S27" s="57" t="inlineStr">
        <is>
          <t>Environmental Risk</t>
        </is>
      </c>
      <c r="T27" s="57" t="inlineStr">
        <is>
          <t>Social Risk</t>
        </is>
      </c>
      <c r="U27" s="57" t="inlineStr">
        <is>
          <t>Cost Score</t>
        </is>
      </c>
      <c r="V27" s="57" t="inlineStr">
        <is>
          <t>Strategic Importance</t>
        </is>
      </c>
      <c r="W27" s="57" t="inlineStr">
        <is>
          <t>Improvement Potential</t>
        </is>
      </c>
      <c r="X27" s="17" t="inlineStr">
        <is>
          <t>Low Product Quality</t>
        </is>
      </c>
      <c r="Y27" s="33" t="inlineStr">
        <is>
          <t>Effective Cost</t>
        </is>
      </c>
    </row>
    <row r="28">
      <c r="B28" s="43" t="n">
        <v>4</v>
      </c>
      <c r="C28" s="2" t="n">
        <v>0.1</v>
      </c>
      <c r="D28" s="2" t="n">
        <v>0.1</v>
      </c>
      <c r="E28" s="2" t="n">
        <v>0.4</v>
      </c>
      <c r="F28" s="2" t="n">
        <v>0.15</v>
      </c>
      <c r="G28" s="2" t="n">
        <v>0.1</v>
      </c>
      <c r="H28" s="6" t="n">
        <v>0.15</v>
      </c>
      <c r="I28" s="1">
        <f>C28&amp;"x1+ "&amp;D28&amp;"x2+ "&amp;E28&amp;"x3+ "&amp;F28&amp;"x4+ "&amp;G28&amp;"x5+ -"&amp;H28&amp;"x6"</f>
        <v/>
      </c>
      <c r="R28" s="10" t="inlineStr">
        <is>
          <t>A</t>
        </is>
      </c>
      <c r="S28" s="2">
        <f>S18</f>
        <v/>
      </c>
      <c r="T28" s="2">
        <f>T18</f>
        <v/>
      </c>
      <c r="U28" s="2">
        <f>U18</f>
        <v/>
      </c>
      <c r="V28" s="2">
        <f>V18</f>
        <v/>
      </c>
      <c r="W28" s="2">
        <f>W18</f>
        <v/>
      </c>
      <c r="X28" s="2">
        <f>X18</f>
        <v/>
      </c>
      <c r="Y28" s="1">
        <f>SUM(S28:W28)</f>
        <v/>
      </c>
    </row>
    <row r="29">
      <c r="B29" s="43" t="n">
        <v>5</v>
      </c>
      <c r="C29" s="2" t="n">
        <v>0.05</v>
      </c>
      <c r="D29" s="2" t="n">
        <v>0.05</v>
      </c>
      <c r="E29" s="2" t="n">
        <v>0.5</v>
      </c>
      <c r="F29" s="2" t="n">
        <v>0.15</v>
      </c>
      <c r="G29" s="2" t="n">
        <v>0.1</v>
      </c>
      <c r="H29" s="6" t="n">
        <v>0.15</v>
      </c>
      <c r="I29" s="1">
        <f>C29&amp;"x1+ "&amp;D29&amp;"x2+ "&amp;E29&amp;"x3+ "&amp;F29&amp;"x4+ "&amp;G29&amp;"x5+ -"&amp;H29&amp;"x6"</f>
        <v/>
      </c>
      <c r="R29" s="10" t="inlineStr">
        <is>
          <t>B</t>
        </is>
      </c>
      <c r="S29" s="2">
        <f>S19</f>
        <v/>
      </c>
      <c r="T29" s="2">
        <f>T19</f>
        <v/>
      </c>
      <c r="U29" s="2">
        <f>U19</f>
        <v/>
      </c>
      <c r="V29" s="2">
        <f>V19</f>
        <v/>
      </c>
      <c r="W29" s="2">
        <f>W19</f>
        <v/>
      </c>
      <c r="X29" s="2">
        <f>X19</f>
        <v/>
      </c>
      <c r="Y29" s="1">
        <f>SUM(S29:W29)</f>
        <v/>
      </c>
    </row>
    <row r="30">
      <c r="B30" s="43" t="n">
        <v>6</v>
      </c>
      <c r="C30" s="2" t="n">
        <v>0.05</v>
      </c>
      <c r="D30" s="2" t="n">
        <v>0.1</v>
      </c>
      <c r="E30" s="2" t="n">
        <v>0.35</v>
      </c>
      <c r="F30" s="2" t="n">
        <v>0.15</v>
      </c>
      <c r="G30" s="2" t="n">
        <v>0.1</v>
      </c>
      <c r="H30" s="6" t="n">
        <v>0.25</v>
      </c>
      <c r="I30" s="1">
        <f>C30&amp;"x1+ "&amp;D30&amp;"x2+ "&amp;E30&amp;"x3+ "&amp;F30&amp;"x4+ "&amp;G30&amp;"x5+ -"&amp;H30&amp;"x6"</f>
        <v/>
      </c>
      <c r="R30" s="10" t="inlineStr">
        <is>
          <t>C</t>
        </is>
      </c>
      <c r="S30" s="2">
        <f>S20</f>
        <v/>
      </c>
      <c r="T30" s="2">
        <f>T20</f>
        <v/>
      </c>
      <c r="U30" s="2">
        <f>U20</f>
        <v/>
      </c>
      <c r="V30" s="2">
        <f>V20</f>
        <v/>
      </c>
      <c r="W30" s="2">
        <f>W20</f>
        <v/>
      </c>
      <c r="X30" s="2">
        <f>X20</f>
        <v/>
      </c>
      <c r="Y30" s="1">
        <f>SUM(S30:W30)</f>
        <v/>
      </c>
    </row>
    <row r="31">
      <c r="B31" s="43" t="n">
        <v>7</v>
      </c>
      <c r="C31" s="2" t="n">
        <v>0.1</v>
      </c>
      <c r="D31" s="2" t="n">
        <v>0.1</v>
      </c>
      <c r="E31" s="2" t="n">
        <v>0.15</v>
      </c>
      <c r="F31" s="2" t="n">
        <v>0.35</v>
      </c>
      <c r="G31" s="2" t="n">
        <v>0.2</v>
      </c>
      <c r="H31" s="6" t="n">
        <v>0.1</v>
      </c>
      <c r="I31" s="1">
        <f>C31&amp;"x1+ "&amp;D31&amp;"x2+ "&amp;E31&amp;"x3+ "&amp;F31&amp;"x4+ "&amp;G31&amp;"x5+ -"&amp;H31&amp;"x6"</f>
        <v/>
      </c>
      <c r="R31" s="10" t="inlineStr">
        <is>
          <t>D</t>
        </is>
      </c>
      <c r="S31" s="2">
        <f>S21</f>
        <v/>
      </c>
      <c r="T31" s="2">
        <f>T21</f>
        <v/>
      </c>
      <c r="U31" s="2">
        <f>U21</f>
        <v/>
      </c>
      <c r="V31" s="2">
        <f>V21</f>
        <v/>
      </c>
      <c r="W31" s="2">
        <f>W21</f>
        <v/>
      </c>
      <c r="X31" s="2">
        <f>X21</f>
        <v/>
      </c>
      <c r="Y31" s="1">
        <f>SUM(S31:W31)</f>
        <v/>
      </c>
    </row>
    <row r="32">
      <c r="B32" s="41" t="n">
        <v>8</v>
      </c>
      <c r="C32" s="2" t="n">
        <v>0.1</v>
      </c>
      <c r="D32" s="2" t="n">
        <v>0.1</v>
      </c>
      <c r="E32" s="2" t="n">
        <v>0.65</v>
      </c>
      <c r="F32" s="2" t="n">
        <v>0.25</v>
      </c>
      <c r="G32" s="2" t="n">
        <v>0.3</v>
      </c>
      <c r="H32" s="6" t="n">
        <v>0.1</v>
      </c>
      <c r="I32" s="1">
        <f>C32&amp;"x1+ "&amp;D32&amp;"x2+ "&amp;E32&amp;"x3+ "&amp;F32&amp;"x4+ "&amp;G32&amp;"x5+ -"&amp;H32&amp;"x6"</f>
        <v/>
      </c>
      <c r="R32" s="10" t="inlineStr">
        <is>
          <t>E</t>
        </is>
      </c>
      <c r="S32" s="2">
        <f>S22</f>
        <v/>
      </c>
      <c r="T32" s="2">
        <f>T22</f>
        <v/>
      </c>
      <c r="U32" s="2">
        <f>U22</f>
        <v/>
      </c>
      <c r="V32" s="2">
        <f>V22</f>
        <v/>
      </c>
      <c r="W32" s="2">
        <f>W22</f>
        <v/>
      </c>
      <c r="X32" s="2">
        <f>X22</f>
        <v/>
      </c>
      <c r="Y32" s="1">
        <f>SUM(S32:W32)</f>
        <v/>
      </c>
    </row>
    <row r="33">
      <c r="B33" s="41" t="n">
        <v>9</v>
      </c>
      <c r="C33" s="2" t="n">
        <v>0.2</v>
      </c>
      <c r="D33" s="2" t="n">
        <v>0.15</v>
      </c>
      <c r="E33" s="2" t="n">
        <v>0.2</v>
      </c>
      <c r="F33" s="2" t="n">
        <v>0.15</v>
      </c>
      <c r="G33" s="2" t="n">
        <v>0.1</v>
      </c>
      <c r="H33" s="6" t="n">
        <v>0.2</v>
      </c>
      <c r="I33" s="1">
        <f>C33&amp;"x1+ "&amp;D33&amp;"x2+ "&amp;E33&amp;"x3+ "&amp;F33&amp;"x4+ "&amp;G33&amp;"x5+ -"&amp;H33&amp;"x6"</f>
        <v/>
      </c>
      <c r="R33" s="10" t="inlineStr">
        <is>
          <t>F</t>
        </is>
      </c>
      <c r="S33" s="2">
        <f>S23</f>
        <v/>
      </c>
      <c r="T33" s="2">
        <f>T23</f>
        <v/>
      </c>
      <c r="U33" s="2">
        <f>U23</f>
        <v/>
      </c>
      <c r="V33" s="2">
        <f>V23</f>
        <v/>
      </c>
      <c r="W33" s="2">
        <f>W23</f>
        <v/>
      </c>
      <c r="X33" s="2">
        <f>X23</f>
        <v/>
      </c>
      <c r="Y33" s="1">
        <f>SUM(S33:W33)</f>
        <v/>
      </c>
    </row>
    <row r="34">
      <c r="B34" s="41" t="n">
        <v>10</v>
      </c>
      <c r="C34" s="2" t="n">
        <v>0.15</v>
      </c>
      <c r="D34" s="2" t="n">
        <v>0.15</v>
      </c>
      <c r="E34" s="2" t="n">
        <v>0.15</v>
      </c>
      <c r="F34" s="2" t="n">
        <v>0.15</v>
      </c>
      <c r="G34" s="2" t="n">
        <v>0.1</v>
      </c>
      <c r="H34" s="6" t="n">
        <v>0.3</v>
      </c>
      <c r="I34" s="1">
        <f>C34&amp;"x1+ "&amp;D34&amp;"x2+ "&amp;E34&amp;"x3+ "&amp;F34&amp;"x4+ "&amp;G34&amp;"x5+ -"&amp;H34&amp;"x6"</f>
        <v/>
      </c>
      <c r="R34" s="10" t="inlineStr">
        <is>
          <t>G</t>
        </is>
      </c>
      <c r="S34" s="2">
        <f>S24</f>
        <v/>
      </c>
      <c r="T34" s="2">
        <f>T24</f>
        <v/>
      </c>
      <c r="U34" s="2">
        <f>U24</f>
        <v/>
      </c>
      <c r="V34" s="2">
        <f>V24</f>
        <v/>
      </c>
      <c r="W34" s="2">
        <f>W24</f>
        <v/>
      </c>
      <c r="X34" s="2">
        <f>X24</f>
        <v/>
      </c>
      <c r="Y34" s="1">
        <f>SUM(S34:W34)</f>
        <v/>
      </c>
    </row>
    <row r="36" ht="57" customHeight="1" s="60">
      <c r="B36" s="47" t="inlineStr">
        <is>
          <t>Supplier/User</t>
        </is>
      </c>
      <c r="C36" s="46" t="n">
        <v>1</v>
      </c>
      <c r="D36" s="46" t="n">
        <v>2</v>
      </c>
      <c r="E36" s="46" t="n">
        <v>3</v>
      </c>
      <c r="F36" s="46" t="n">
        <v>4</v>
      </c>
      <c r="G36" s="46" t="n">
        <v>5</v>
      </c>
      <c r="H36" s="46" t="n">
        <v>6</v>
      </c>
      <c r="I36" s="46" t="n">
        <v>7</v>
      </c>
      <c r="J36" s="46" t="n">
        <v>8</v>
      </c>
      <c r="K36" s="46" t="n">
        <v>9</v>
      </c>
      <c r="L36" s="46" t="n">
        <v>10</v>
      </c>
      <c r="M36" s="50" t="inlineStr">
        <is>
          <t>Total</t>
        </is>
      </c>
      <c r="R36" s="45" t="inlineStr">
        <is>
          <t>User Utilities</t>
        </is>
      </c>
    </row>
    <row r="37">
      <c r="B37" s="10" t="inlineStr">
        <is>
          <t>A</t>
        </is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/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/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/>
      </c>
      <c r="F37">
        <f>_xlfn.IFNA(
SUMPRODUCT(
_xlfn.XLOOKUP(TRIM($B37), $R$4:$R$10, $S$4:$W$10),
_xlfn.XLOOKUP(--TRIM(F$36), $B$25:$B$34, $C$25:$G$34)
)
- _xlfn.XLOOKUP(TRIM($B37), $R$4:$R$10, $X$4:$X$10)
* _xlfn.XLOOKUP(--TRIM(F$36), $B$25:$B$34, $H$25:$H$34), ""
)</f>
        <v/>
      </c>
      <c r="G37">
        <f>_xlfn.IFNA(
SUMPRODUCT(
_xlfn.XLOOKUP(TRIM($B37), $R$4:$R$10, $S$4:$W$10),
_xlfn.XLOOKUP(--TRIM(G$36), $B$25:$B$34, $C$25:$G$34)
)
- _xlfn.XLOOKUP(TRIM($B37), $R$4:$R$10, $X$4:$X$10)
* _xlfn.XLOOKUP(--TRIM(G$36), $B$25:$B$34, $H$25:$H$34), ""
)</f>
        <v/>
      </c>
      <c r="H37">
        <f>_xlfn.IFNA(
SUMPRODUCT(
_xlfn.XLOOKUP(TRIM($B37), $R$4:$R$10, $S$4:$W$10),
_xlfn.XLOOKUP(--TRIM(H$36), $B$25:$B$34, $C$25:$G$34)
)
- _xlfn.XLOOKUP(TRIM($B37), $R$4:$R$10, $X$4:$X$10)
* _xlfn.XLOOKUP(--TRIM(H$36), $B$25:$B$34, $H$25:$H$34), ""
)</f>
        <v/>
      </c>
      <c r="I37">
        <f>_xlfn.IFNA(
SUMPRODUCT(
_xlfn.XLOOKUP(TRIM($B37), $R$4:$R$10, $S$4:$W$10),
_xlfn.XLOOKUP(--TRIM(I$36), $B$25:$B$34, $C$25:$G$34)
)
- _xlfn.XLOOKUP(TRIM($B37), $R$4:$R$10, $X$4:$X$10)
* _xlfn.XLOOKUP(--TRIM(I$36), $B$25:$B$34, $H$25:$H$34), ""
)</f>
        <v/>
      </c>
      <c r="J37">
        <f>_xlfn.IFNA(
SUMPRODUCT(
_xlfn.XLOOKUP(TRIM($B37), $R$4:$R$10, $S$4:$W$10),
_xlfn.XLOOKUP(--TRIM(J$36), $B$25:$B$34, $C$25:$G$34)
)
- _xlfn.XLOOKUP(TRIM($B37), $R$4:$R$10, $X$4:$X$10)
* _xlfn.XLOOKUP(--TRIM(J$36), $B$25:$B$34, $H$25:$H$34), ""
)</f>
        <v/>
      </c>
      <c r="K37">
        <f>_xlfn.IFNA(
SUMPRODUCT(
_xlfn.XLOOKUP(TRIM($B37), $R$4:$R$10, $S$4:$W$10),
_xlfn.XLOOKUP(--TRIM(K$36), $B$25:$B$34, $C$25:$G$34)
)
- _xlfn.XLOOKUP(TRIM($B37), $R$4:$R$10, $X$4:$X$10)
* _xlfn.XLOOKUP(--TRIM(K$36), $B$25:$B$34, $H$25:$H$34), ""
)</f>
        <v/>
      </c>
      <c r="L37">
        <f>_xlfn.IFNA(
SUMPRODUCT(
_xlfn.XLOOKUP(TRIM($B37), $R$4:$R$10, $S$4:$W$10),
_xlfn.XLOOKUP(--TRIM(L$36), $B$25:$B$34, $C$25:$G$34)
)
- _xlfn.XLOOKUP(TRIM($B37), $R$4:$R$10, $X$4:$X$10)
* _xlfn.XLOOKUP(--TRIM(L$36), $B$25:$B$34, $H$25:$H$34), ""
)</f>
        <v/>
      </c>
      <c r="M37">
        <f>SUM(C37:L37)</f>
        <v/>
      </c>
    </row>
    <row r="38">
      <c r="B38" s="10" t="inlineStr">
        <is>
          <t>B</t>
        </is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/>
      </c>
      <c r="D38">
        <f>_xlfn.IFNA(
SUMPRODUCT(
_xlfn.XLOOKUP(TRIM($B38), $R$4:$R$10, $S$4:$W$10),
_xlfn.XLOOKUP(--TRIM(D$36), $B$25:$B$34, $C$25:$G$34)
)
- _xlfn.XLOOKUP(TRIM($B38), $R$4:$R$10, $X$4:$X$10)
* _xlfn.XLOOKUP(--TRIM(D$36), $B$25:$B$34, $H$25:$H$34), ""
)</f>
        <v/>
      </c>
      <c r="E38">
        <f>_xlfn.IFNA(
SUMPRODUCT(
_xlfn.XLOOKUP(TRIM($B38), $R$4:$R$10, $S$4:$W$10),
_xlfn.XLOOKUP(--TRIM(E$36), $B$25:$B$34, $C$25:$G$34)
)
- _xlfn.XLOOKUP(TRIM($B38), $R$4:$R$10, $X$4:$X$10)
* _xlfn.XLOOKUP(--TRIM(E$36), $B$25:$B$34, $H$25:$H$34), ""
)</f>
        <v/>
      </c>
      <c r="F38">
        <f>_xlfn.IFNA(
SUMPRODUCT(
_xlfn.XLOOKUP(TRIM($B38), $R$4:$R$10, $S$4:$W$10),
_xlfn.XLOOKUP(--TRIM(F$36), $B$25:$B$34, $C$25:$G$34)
)
- _xlfn.XLOOKUP(TRIM($B38), $R$4:$R$10, $X$4:$X$10)
* _xlfn.XLOOKUP(--TRIM(F$36), $B$25:$B$34, $H$25:$H$34), ""
)</f>
        <v/>
      </c>
      <c r="G38">
        <f>_xlfn.IFNA(
SUMPRODUCT(
_xlfn.XLOOKUP(TRIM($B38), $R$4:$R$10, $S$4:$W$10),
_xlfn.XLOOKUP(--TRIM(G$36), $B$25:$B$34, $C$25:$G$34)
)
- _xlfn.XLOOKUP(TRIM($B38), $R$4:$R$10, $X$4:$X$10)
* _xlfn.XLOOKUP(--TRIM(G$36), $B$25:$B$34, $H$25:$H$34), ""
)</f>
        <v/>
      </c>
      <c r="H38">
        <f>_xlfn.IFNA(
SUMPRODUCT(
_xlfn.XLOOKUP(TRIM($B38), $R$4:$R$10, $S$4:$W$10),
_xlfn.XLOOKUP(--TRIM(H$36), $B$25:$B$34, $C$25:$G$34)
)
- _xlfn.XLOOKUP(TRIM($B38), $R$4:$R$10, $X$4:$X$10)
* _xlfn.XLOOKUP(--TRIM(H$36), $B$25:$B$34, $H$25:$H$34), ""
)</f>
        <v/>
      </c>
      <c r="I38">
        <f>_xlfn.IFNA(
SUMPRODUCT(
_xlfn.XLOOKUP(TRIM($B38), $R$4:$R$10, $S$4:$W$10),
_xlfn.XLOOKUP(--TRIM(I$36), $B$25:$B$34, $C$25:$G$34)
)
- _xlfn.XLOOKUP(TRIM($B38), $R$4:$R$10, $X$4:$X$10)
* _xlfn.XLOOKUP(--TRIM(I$36), $B$25:$B$34, $H$25:$H$34), ""
)</f>
        <v/>
      </c>
      <c r="J38">
        <f>_xlfn.IFNA(
SUMPRODUCT(
_xlfn.XLOOKUP(TRIM($B38), $R$4:$R$10, $S$4:$W$10),
_xlfn.XLOOKUP(--TRIM(J$36), $B$25:$B$34, $C$25:$G$34)
)
- _xlfn.XLOOKUP(TRIM($B38), $R$4:$R$10, $X$4:$X$10)
* _xlfn.XLOOKUP(--TRIM(J$36), $B$25:$B$34, $H$25:$H$34), ""
)</f>
        <v/>
      </c>
      <c r="K38">
        <f>_xlfn.IFNA(
SUMPRODUCT(
_xlfn.XLOOKUP(TRIM($B38), $R$4:$R$10, $S$4:$W$10),
_xlfn.XLOOKUP(--TRIM(K$36), $B$25:$B$34, $C$25:$G$34)
)
- _xlfn.XLOOKUP(TRIM($B38), $R$4:$R$10, $X$4:$X$10)
* _xlfn.XLOOKUP(--TRIM(K$36), $B$25:$B$34, $H$25:$H$34), ""
)</f>
        <v/>
      </c>
      <c r="L38">
        <f>_xlfn.IFNA(
SUMPRODUCT(
_xlfn.XLOOKUP(TRIM($B38), $R$4:$R$10, $S$4:$W$10),
_xlfn.XLOOKUP(--TRIM(L$36), $B$25:$B$34, $C$25:$G$34)
)
- _xlfn.XLOOKUP(TRIM($B38), $R$4:$R$10, $X$4:$X$10)
* _xlfn.XLOOKUP(--TRIM(L$36), $B$25:$B$34, $H$25:$H$34), ""
)</f>
        <v/>
      </c>
      <c r="M38">
        <f>SUM(C38:L38)</f>
        <v/>
      </c>
    </row>
    <row r="39">
      <c r="B39" s="10" t="inlineStr">
        <is>
          <t>C</t>
        </is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/>
      </c>
      <c r="D39">
        <f>_xlfn.IFNA(
SUMPRODUCT(
_xlfn.XLOOKUP(TRIM($B39), $R$4:$R$10, $S$4:$W$10),
_xlfn.XLOOKUP(--TRIM(D$36), $B$25:$B$34, $C$25:$G$34)
)
- _xlfn.XLOOKUP(TRIM($B39), $R$4:$R$10, $X$4:$X$10)
* _xlfn.XLOOKUP(--TRIM(D$36), $B$25:$B$34, $H$25:$H$34), ""
)</f>
        <v/>
      </c>
      <c r="E39">
        <f>_xlfn.IFNA(
SUMPRODUCT(
_xlfn.XLOOKUP(TRIM($B39), $R$4:$R$10, $S$4:$W$10),
_xlfn.XLOOKUP(--TRIM(E$36), $B$25:$B$34, $C$25:$G$34)
)
- _xlfn.XLOOKUP(TRIM($B39), $R$4:$R$10, $X$4:$X$10)
* _xlfn.XLOOKUP(--TRIM(E$36), $B$25:$B$34, $H$25:$H$34), ""
)</f>
        <v/>
      </c>
      <c r="F39">
        <f>_xlfn.IFNA(
SUMPRODUCT(
_xlfn.XLOOKUP(TRIM($B39), $R$4:$R$10, $S$4:$W$10),
_xlfn.XLOOKUP(--TRIM(F$36), $B$25:$B$34, $C$25:$G$34)
)
- _xlfn.XLOOKUP(TRIM($B39), $R$4:$R$10, $X$4:$X$10)
* _xlfn.XLOOKUP(--TRIM(F$36), $B$25:$B$34, $H$25:$H$34), ""
)</f>
        <v/>
      </c>
      <c r="G39">
        <f>_xlfn.IFNA(
SUMPRODUCT(
_xlfn.XLOOKUP(TRIM($B39), $R$4:$R$10, $S$4:$W$10),
_xlfn.XLOOKUP(--TRIM(G$36), $B$25:$B$34, $C$25:$G$34)
)
- _xlfn.XLOOKUP(TRIM($B39), $R$4:$R$10, $X$4:$X$10)
* _xlfn.XLOOKUP(--TRIM(G$36), $B$25:$B$34, $H$25:$H$34), ""
)</f>
        <v/>
      </c>
      <c r="H39">
        <f>_xlfn.IFNA(
SUMPRODUCT(
_xlfn.XLOOKUP(TRIM($B39), $R$4:$R$10, $S$4:$W$10),
_xlfn.XLOOKUP(--TRIM(H$36), $B$25:$B$34, $C$25:$G$34)
)
- _xlfn.XLOOKUP(TRIM($B39), $R$4:$R$10, $X$4:$X$10)
* _xlfn.XLOOKUP(--TRIM(H$36), $B$25:$B$34, $H$25:$H$34), ""
)</f>
        <v/>
      </c>
      <c r="I39">
        <f>_xlfn.IFNA(
SUMPRODUCT(
_xlfn.XLOOKUP(TRIM($B39), $R$4:$R$10, $S$4:$W$10),
_xlfn.XLOOKUP(--TRIM(I$36), $B$25:$B$34, $C$25:$G$34)
)
- _xlfn.XLOOKUP(TRIM($B39), $R$4:$R$10, $X$4:$X$10)
* _xlfn.XLOOKUP(--TRIM(I$36), $B$25:$B$34, $H$25:$H$34), ""
)</f>
        <v/>
      </c>
      <c r="J39">
        <f>_xlfn.IFNA(
SUMPRODUCT(
_xlfn.XLOOKUP(TRIM($B39), $R$4:$R$10, $S$4:$W$10),
_xlfn.XLOOKUP(--TRIM(J$36), $B$25:$B$34, $C$25:$G$34)
)
- _xlfn.XLOOKUP(TRIM($B39), $R$4:$R$10, $X$4:$X$10)
* _xlfn.XLOOKUP(--TRIM(J$36), $B$25:$B$34, $H$25:$H$34), ""
)</f>
        <v/>
      </c>
      <c r="K39">
        <f>_xlfn.IFNA(
SUMPRODUCT(
_xlfn.XLOOKUP(TRIM($B39), $R$4:$R$10, $S$4:$W$10),
_xlfn.XLOOKUP(--TRIM(K$36), $B$25:$B$34, $C$25:$G$34)
)
- _xlfn.XLOOKUP(TRIM($B39), $R$4:$R$10, $X$4:$X$10)
* _xlfn.XLOOKUP(--TRIM(K$36), $B$25:$B$34, $H$25:$H$34), ""
)</f>
        <v/>
      </c>
      <c r="L39">
        <f>_xlfn.IFNA(
SUMPRODUCT(
_xlfn.XLOOKUP(TRIM($B39), $R$4:$R$10, $S$4:$W$10),
_xlfn.XLOOKUP(--TRIM(L$36), $B$25:$B$34, $C$25:$G$34)
)
- _xlfn.XLOOKUP(TRIM($B39), $R$4:$R$10, $X$4:$X$10)
* _xlfn.XLOOKUP(--TRIM(L$36), $B$25:$B$34, $H$25:$H$34), ""
)</f>
        <v/>
      </c>
      <c r="M39">
        <f>SUM(C39:L39)</f>
        <v/>
      </c>
    </row>
    <row r="40">
      <c r="B40" s="10" t="inlineStr">
        <is>
          <t>D</t>
        </is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/>
      </c>
      <c r="D40">
        <f>_xlfn.IFNA(
SUMPRODUCT(
_xlfn.XLOOKUP(TRIM($B40), $R$4:$R$10, $S$4:$W$10),
_xlfn.XLOOKUP(--TRIM(D$36), $B$25:$B$34, $C$25:$G$34)
)
- _xlfn.XLOOKUP(TRIM($B40), $R$4:$R$10, $X$4:$X$10)
* _xlfn.XLOOKUP(--TRIM(D$36), $B$25:$B$34, $H$25:$H$34), ""
)</f>
        <v/>
      </c>
      <c r="E40">
        <f>_xlfn.IFNA(
SUMPRODUCT(
_xlfn.XLOOKUP(TRIM($B40), $R$4:$R$10, $S$4:$W$10),
_xlfn.XLOOKUP(--TRIM(E$36), $B$25:$B$34, $C$25:$G$34)
)
- _xlfn.XLOOKUP(TRIM($B40), $R$4:$R$10, $X$4:$X$10)
* _xlfn.XLOOKUP(--TRIM(E$36), $B$25:$B$34, $H$25:$H$34), ""
)</f>
        <v/>
      </c>
      <c r="F40">
        <f>_xlfn.IFNA(
SUMPRODUCT(
_xlfn.XLOOKUP(TRIM($B40), $R$4:$R$10, $S$4:$W$10),
_xlfn.XLOOKUP(--TRIM(F$36), $B$25:$B$34, $C$25:$G$34)
)
- _xlfn.XLOOKUP(TRIM($B40), $R$4:$R$10, $X$4:$X$10)
* _xlfn.XLOOKUP(--TRIM(F$36), $B$25:$B$34, $H$25:$H$34), ""
)</f>
        <v/>
      </c>
      <c r="G40">
        <f>_xlfn.IFNA(
SUMPRODUCT(
_xlfn.XLOOKUP(TRIM($B40), $R$4:$R$10, $S$4:$W$10),
_xlfn.XLOOKUP(--TRIM(G$36), $B$25:$B$34, $C$25:$G$34)
)
- _xlfn.XLOOKUP(TRIM($B40), $R$4:$R$10, $X$4:$X$10)
* _xlfn.XLOOKUP(--TRIM(G$36), $B$25:$B$34, $H$25:$H$34), ""
)</f>
        <v/>
      </c>
      <c r="H40">
        <f>_xlfn.IFNA(
SUMPRODUCT(
_xlfn.XLOOKUP(TRIM($B40), $R$4:$R$10, $S$4:$W$10),
_xlfn.XLOOKUP(--TRIM(H$36), $B$25:$B$34, $C$25:$G$34)
)
- _xlfn.XLOOKUP(TRIM($B40), $R$4:$R$10, $X$4:$X$10)
* _xlfn.XLOOKUP(--TRIM(H$36), $B$25:$B$34, $H$25:$H$34), ""
)</f>
        <v/>
      </c>
      <c r="I40">
        <f>_xlfn.IFNA(
SUMPRODUCT(
_xlfn.XLOOKUP(TRIM($B40), $R$4:$R$10, $S$4:$W$10),
_xlfn.XLOOKUP(--TRIM(I$36), $B$25:$B$34, $C$25:$G$34)
)
- _xlfn.XLOOKUP(TRIM($B40), $R$4:$R$10, $X$4:$X$10)
* _xlfn.XLOOKUP(--TRIM(I$36), $B$25:$B$34, $H$25:$H$34), ""
)</f>
        <v/>
      </c>
      <c r="J40">
        <f>_xlfn.IFNA(
SUMPRODUCT(
_xlfn.XLOOKUP(TRIM($B40), $R$4:$R$10, $S$4:$W$10),
_xlfn.XLOOKUP(--TRIM(J$36), $B$25:$B$34, $C$25:$G$34)
)
- _xlfn.XLOOKUP(TRIM($B40), $R$4:$R$10, $X$4:$X$10)
* _xlfn.XLOOKUP(--TRIM(J$36), $B$25:$B$34, $H$25:$H$34), ""
)</f>
        <v/>
      </c>
      <c r="K40">
        <f>_xlfn.IFNA(
SUMPRODUCT(
_xlfn.XLOOKUP(TRIM($B40), $R$4:$R$10, $S$4:$W$10),
_xlfn.XLOOKUP(--TRIM(K$36), $B$25:$B$34, $C$25:$G$34)
)
- _xlfn.XLOOKUP(TRIM($B40), $R$4:$R$10, $X$4:$X$10)
* _xlfn.XLOOKUP(--TRIM(K$36), $B$25:$B$34, $H$25:$H$34), ""
)</f>
        <v/>
      </c>
      <c r="L40">
        <f>_xlfn.IFNA(
SUMPRODUCT(
_xlfn.XLOOKUP(TRIM($B40), $R$4:$R$10, $S$4:$W$10),
_xlfn.XLOOKUP(--TRIM(L$36), $B$25:$B$34, $C$25:$G$34)
)
- _xlfn.XLOOKUP(TRIM($B40), $R$4:$R$10, $X$4:$X$10)
* _xlfn.XLOOKUP(--TRIM(L$36), $B$25:$B$34, $H$25:$H$34), ""
)</f>
        <v/>
      </c>
      <c r="M40">
        <f>SUM(C40:L40)</f>
        <v/>
      </c>
    </row>
    <row r="41">
      <c r="B41" s="10" t="inlineStr">
        <is>
          <t>E</t>
        </is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/>
      </c>
      <c r="D41">
        <f>_xlfn.IFNA(
SUMPRODUCT(
_xlfn.XLOOKUP(TRIM($B41), $R$4:$R$10, $S$4:$W$10),
_xlfn.XLOOKUP(--TRIM(D$36), $B$25:$B$34, $C$25:$G$34)
)
- _xlfn.XLOOKUP(TRIM($B41), $R$4:$R$10, $X$4:$X$10)
* _xlfn.XLOOKUP(--TRIM(D$36), $B$25:$B$34, $H$25:$H$34), ""
)</f>
        <v/>
      </c>
      <c r="E41">
        <f>_xlfn.IFNA(
SUMPRODUCT(
_xlfn.XLOOKUP(TRIM($B41), $R$4:$R$10, $S$4:$W$10),
_xlfn.XLOOKUP(--TRIM(E$36), $B$25:$B$34, $C$25:$G$34)
)
- _xlfn.XLOOKUP(TRIM($B41), $R$4:$R$10, $X$4:$X$10)
* _xlfn.XLOOKUP(--TRIM(E$36), $B$25:$B$34, $H$25:$H$34), ""
)</f>
        <v/>
      </c>
      <c r="F41">
        <f>_xlfn.IFNA(
SUMPRODUCT(
_xlfn.XLOOKUP(TRIM($B41), $R$4:$R$10, $S$4:$W$10),
_xlfn.XLOOKUP(--TRIM(F$36), $B$25:$B$34, $C$25:$G$34)
)
- _xlfn.XLOOKUP(TRIM($B41), $R$4:$R$10, $X$4:$X$10)
* _xlfn.XLOOKUP(--TRIM(F$36), $B$25:$B$34, $H$25:$H$34), ""
)</f>
        <v/>
      </c>
      <c r="G41">
        <f>_xlfn.IFNA(
SUMPRODUCT(
_xlfn.XLOOKUP(TRIM($B41), $R$4:$R$10, $S$4:$W$10),
_xlfn.XLOOKUP(--TRIM(G$36), $B$25:$B$34, $C$25:$G$34)
)
- _xlfn.XLOOKUP(TRIM($B41), $R$4:$R$10, $X$4:$X$10)
* _xlfn.XLOOKUP(--TRIM(G$36), $B$25:$B$34, $H$25:$H$34), ""
)</f>
        <v/>
      </c>
      <c r="H41">
        <f>_xlfn.IFNA(
SUMPRODUCT(
_xlfn.XLOOKUP(TRIM($B41), $R$4:$R$10, $S$4:$W$10),
_xlfn.XLOOKUP(--TRIM(H$36), $B$25:$B$34, $C$25:$G$34)
)
- _xlfn.XLOOKUP(TRIM($B41), $R$4:$R$10, $X$4:$X$10)
* _xlfn.XLOOKUP(--TRIM(H$36), $B$25:$B$34, $H$25:$H$34), ""
)</f>
        <v/>
      </c>
      <c r="I41">
        <f>_xlfn.IFNA(
SUMPRODUCT(
_xlfn.XLOOKUP(TRIM($B41), $R$4:$R$10, $S$4:$W$10),
_xlfn.XLOOKUP(--TRIM(I$36), $B$25:$B$34, $C$25:$G$34)
)
- _xlfn.XLOOKUP(TRIM($B41), $R$4:$R$10, $X$4:$X$10)
* _xlfn.XLOOKUP(--TRIM(I$36), $B$25:$B$34, $H$25:$H$34), ""
)</f>
        <v/>
      </c>
      <c r="J41">
        <f>_xlfn.IFNA(
SUMPRODUCT(
_xlfn.XLOOKUP(TRIM($B41), $R$4:$R$10, $S$4:$W$10),
_xlfn.XLOOKUP(--TRIM(J$36), $B$25:$B$34, $C$25:$G$34)
)
- _xlfn.XLOOKUP(TRIM($B41), $R$4:$R$10, $X$4:$X$10)
* _xlfn.XLOOKUP(--TRIM(J$36), $B$25:$B$34, $H$25:$H$34), ""
)</f>
        <v/>
      </c>
      <c r="K41">
        <f>_xlfn.IFNA(
SUMPRODUCT(
_xlfn.XLOOKUP(TRIM($B41), $R$4:$R$10, $S$4:$W$10),
_xlfn.XLOOKUP(--TRIM(K$36), $B$25:$B$34, $C$25:$G$34)
)
- _xlfn.XLOOKUP(TRIM($B41), $R$4:$R$10, $X$4:$X$10)
* _xlfn.XLOOKUP(--TRIM(K$36), $B$25:$B$34, $H$25:$H$34), ""
)</f>
        <v/>
      </c>
      <c r="L41">
        <f>_xlfn.IFNA(
SUMPRODUCT(
_xlfn.XLOOKUP(TRIM($B41), $R$4:$R$10, $S$4:$W$10),
_xlfn.XLOOKUP(--TRIM(L$36), $B$25:$B$34, $C$25:$G$34)
)
- _xlfn.XLOOKUP(TRIM($B41), $R$4:$R$10, $X$4:$X$10)
* _xlfn.XLOOKUP(--TRIM(L$36), $B$25:$B$34, $H$25:$H$34), ""
)</f>
        <v/>
      </c>
      <c r="M41">
        <f>SUM(C41:L41)</f>
        <v/>
      </c>
    </row>
    <row r="42">
      <c r="B42" s="10" t="inlineStr">
        <is>
          <t>F</t>
        </is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/>
      </c>
      <c r="D42">
        <f>_xlfn.IFNA(
SUMPRODUCT(
_xlfn.XLOOKUP(TRIM($B42), $R$4:$R$10, $S$4:$W$10),
_xlfn.XLOOKUP(--TRIM(D$36), $B$25:$B$34, $C$25:$G$34)
)
- _xlfn.XLOOKUP(TRIM($B42), $R$4:$R$10, $X$4:$X$10)
* _xlfn.XLOOKUP(--TRIM(D$36), $B$25:$B$34, $H$25:$H$34), ""
)</f>
        <v/>
      </c>
      <c r="E42">
        <f>_xlfn.IFNA(
SUMPRODUCT(
_xlfn.XLOOKUP(TRIM($B42), $R$4:$R$10, $S$4:$W$10),
_xlfn.XLOOKUP(--TRIM(E$36), $B$25:$B$34, $C$25:$G$34)
)
- _xlfn.XLOOKUP(TRIM($B42), $R$4:$R$10, $X$4:$X$10)
* _xlfn.XLOOKUP(--TRIM(E$36), $B$25:$B$34, $H$25:$H$34), ""
)</f>
        <v/>
      </c>
      <c r="F42">
        <f>_xlfn.IFNA(
SUMPRODUCT(
_xlfn.XLOOKUP(TRIM($B42), $R$4:$R$10, $S$4:$W$10),
_xlfn.XLOOKUP(--TRIM(F$36), $B$25:$B$34, $C$25:$G$34)
)
- _xlfn.XLOOKUP(TRIM($B42), $R$4:$R$10, $X$4:$X$10)
* _xlfn.XLOOKUP(--TRIM(F$36), $B$25:$B$34, $H$25:$H$34), ""
)</f>
        <v/>
      </c>
      <c r="G42">
        <f>_xlfn.IFNA(
SUMPRODUCT(
_xlfn.XLOOKUP(TRIM($B42), $R$4:$R$10, $S$4:$W$10),
_xlfn.XLOOKUP(--TRIM(G$36), $B$25:$B$34, $C$25:$G$34)
)
- _xlfn.XLOOKUP(TRIM($B42), $R$4:$R$10, $X$4:$X$10)
* _xlfn.XLOOKUP(--TRIM(G$36), $B$25:$B$34, $H$25:$H$34), ""
)</f>
        <v/>
      </c>
      <c r="H42">
        <f>_xlfn.IFNA(
SUMPRODUCT(
_xlfn.XLOOKUP(TRIM($B42), $R$4:$R$10, $S$4:$W$10),
_xlfn.XLOOKUP(--TRIM(H$36), $B$25:$B$34, $C$25:$G$34)
)
- _xlfn.XLOOKUP(TRIM($B42), $R$4:$R$10, $X$4:$X$10)
* _xlfn.XLOOKUP(--TRIM(H$36), $B$25:$B$34, $H$25:$H$34), ""
)</f>
        <v/>
      </c>
      <c r="I42">
        <f>_xlfn.IFNA(
SUMPRODUCT(
_xlfn.XLOOKUP(TRIM($B42), $R$4:$R$10, $S$4:$W$10),
_xlfn.XLOOKUP(--TRIM(I$36), $B$25:$B$34, $C$25:$G$34)
)
- _xlfn.XLOOKUP(TRIM($B42), $R$4:$R$10, $X$4:$X$10)
* _xlfn.XLOOKUP(--TRIM(I$36), $B$25:$B$34, $H$25:$H$34), ""
)</f>
        <v/>
      </c>
      <c r="J42">
        <f>_xlfn.IFNA(
SUMPRODUCT(
_xlfn.XLOOKUP(TRIM($B42), $R$4:$R$10, $S$4:$W$10),
_xlfn.XLOOKUP(--TRIM(J$36), $B$25:$B$34, $C$25:$G$34)
)
- _xlfn.XLOOKUP(TRIM($B42), $R$4:$R$10, $X$4:$X$10)
* _xlfn.XLOOKUP(--TRIM(J$36), $B$25:$B$34, $H$25:$H$34), ""
)</f>
        <v/>
      </c>
      <c r="K42">
        <f>_xlfn.IFNA(
SUMPRODUCT(
_xlfn.XLOOKUP(TRIM($B42), $R$4:$R$10, $S$4:$W$10),
_xlfn.XLOOKUP(--TRIM(K$36), $B$25:$B$34, $C$25:$G$34)
)
- _xlfn.XLOOKUP(TRIM($B42), $R$4:$R$10, $X$4:$X$10)
* _xlfn.XLOOKUP(--TRIM(K$36), $B$25:$B$34, $H$25:$H$34), ""
)</f>
        <v/>
      </c>
      <c r="L42">
        <f>_xlfn.IFNA(
SUMPRODUCT(
_xlfn.XLOOKUP(TRIM($B42), $R$4:$R$10, $S$4:$W$10),
_xlfn.XLOOKUP(--TRIM(L$36), $B$25:$B$34, $C$25:$G$34)
)
- _xlfn.XLOOKUP(TRIM($B42), $R$4:$R$10, $X$4:$X$10)
* _xlfn.XLOOKUP(--TRIM(L$36), $B$25:$B$34, $H$25:$H$34), ""
)</f>
        <v/>
      </c>
      <c r="M42">
        <f>SUM(C42:L42)</f>
        <v/>
      </c>
    </row>
    <row r="43">
      <c r="B43" s="10" t="inlineStr">
        <is>
          <t>G</t>
        </is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/>
      </c>
      <c r="D43">
        <f>_xlfn.IFNA(
SUMPRODUCT(
_xlfn.XLOOKUP(TRIM($B43), $R$4:$R$10, $S$4:$W$10),
_xlfn.XLOOKUP(--TRIM(D$36), $B$25:$B$34, $C$25:$G$34)
)
- _xlfn.XLOOKUP(TRIM($B43), $R$4:$R$10, $X$4:$X$10)
* _xlfn.XLOOKUP(--TRIM(D$36), $B$25:$B$34, $H$25:$H$34), ""
)</f>
        <v/>
      </c>
      <c r="E43">
        <f>_xlfn.IFNA(
SUMPRODUCT(
_xlfn.XLOOKUP(TRIM($B43), $R$4:$R$10, $S$4:$W$10),
_xlfn.XLOOKUP(--TRIM(E$36), $B$25:$B$34, $C$25:$G$34)
)
- _xlfn.XLOOKUP(TRIM($B43), $R$4:$R$10, $X$4:$X$10)
* _xlfn.XLOOKUP(--TRIM(E$36), $B$25:$B$34, $H$25:$H$34), ""
)</f>
        <v/>
      </c>
      <c r="F43">
        <f>_xlfn.IFNA(
SUMPRODUCT(
_xlfn.XLOOKUP(TRIM($B43), $R$4:$R$10, $S$4:$W$10),
_xlfn.XLOOKUP(--TRIM(F$36), $B$25:$B$34, $C$25:$G$34)
)
- _xlfn.XLOOKUP(TRIM($B43), $R$4:$R$10, $X$4:$X$10)
* _xlfn.XLOOKUP(--TRIM(F$36), $B$25:$B$34, $H$25:$H$34), ""
)</f>
        <v/>
      </c>
      <c r="G43">
        <f>_xlfn.IFNA(
SUMPRODUCT(
_xlfn.XLOOKUP(TRIM($B43), $R$4:$R$10, $S$4:$W$10),
_xlfn.XLOOKUP(--TRIM(G$36), $B$25:$B$34, $C$25:$G$34)
)
- _xlfn.XLOOKUP(TRIM($B43), $R$4:$R$10, $X$4:$X$10)
* _xlfn.XLOOKUP(--TRIM(G$36), $B$25:$B$34, $H$25:$H$34), ""
)</f>
        <v/>
      </c>
      <c r="H43">
        <f>_xlfn.IFNA(
SUMPRODUCT(
_xlfn.XLOOKUP(TRIM($B43), $R$4:$R$10, $S$4:$W$10),
_xlfn.XLOOKUP(--TRIM(H$36), $B$25:$B$34, $C$25:$G$34)
)
- _xlfn.XLOOKUP(TRIM($B43), $R$4:$R$10, $X$4:$X$10)
* _xlfn.XLOOKUP(--TRIM(H$36), $B$25:$B$34, $H$25:$H$34), ""
)</f>
        <v/>
      </c>
      <c r="I43">
        <f>_xlfn.IFNA(
SUMPRODUCT(
_xlfn.XLOOKUP(TRIM($B43), $R$4:$R$10, $S$4:$W$10),
_xlfn.XLOOKUP(--TRIM(I$36), $B$25:$B$34, $C$25:$G$34)
)
- _xlfn.XLOOKUP(TRIM($B43), $R$4:$R$10, $X$4:$X$10)
* _xlfn.XLOOKUP(--TRIM(I$36), $B$25:$B$34, $H$25:$H$34), ""
)</f>
        <v/>
      </c>
      <c r="J43">
        <f>_xlfn.IFNA(
SUMPRODUCT(
_xlfn.XLOOKUP(TRIM($B43), $R$4:$R$10, $S$4:$W$10),
_xlfn.XLOOKUP(--TRIM(J$36), $B$25:$B$34, $C$25:$G$34)
)
- _xlfn.XLOOKUP(TRIM($B43), $R$4:$R$10, $X$4:$X$10)
* _xlfn.XLOOKUP(--TRIM(J$36), $B$25:$B$34, $H$25:$H$34), ""
)</f>
        <v/>
      </c>
      <c r="K43">
        <f>_xlfn.IFNA(
SUMPRODUCT(
_xlfn.XLOOKUP(TRIM($B43), $R$4:$R$10, $S$4:$W$10),
_xlfn.XLOOKUP(--TRIM(K$36), $B$25:$B$34, $C$25:$G$34)
)
- _xlfn.XLOOKUP(TRIM($B43), $R$4:$R$10, $X$4:$X$10)
* _xlfn.XLOOKUP(--TRIM(K$36), $B$25:$B$34, $H$25:$H$34), ""
)</f>
        <v/>
      </c>
      <c r="L43">
        <f>_xlfn.IFNA(
SUMPRODUCT(
_xlfn.XLOOKUP(TRIM($B43), $R$4:$R$10, $S$4:$W$10),
_xlfn.XLOOKUP(--TRIM(L$36), $B$25:$B$34, $C$25:$G$34)
)
- _xlfn.XLOOKUP(TRIM($B43), $R$4:$R$10, $X$4:$X$10)
* _xlfn.XLOOKUP(--TRIM(L$36), $B$25:$B$34, $H$25:$H$34), ""
)</f>
        <v/>
      </c>
      <c r="M43">
        <f>SUM(C43:L43)</f>
        <v/>
      </c>
    </row>
    <row r="44">
      <c r="B44" s="52" t="inlineStr">
        <is>
          <t>Total</t>
        </is>
      </c>
      <c r="C44">
        <f>SUM(C37:C43)</f>
        <v/>
      </c>
      <c r="D44">
        <f>SUM(D37:D43)</f>
        <v/>
      </c>
      <c r="E44">
        <f>SUM(E37:E43)</f>
        <v/>
      </c>
      <c r="F44">
        <f>SUM(F37:F43)</f>
        <v/>
      </c>
      <c r="G44">
        <f>SUM(G37:G43)</f>
        <v/>
      </c>
      <c r="H44">
        <f>SUM(H37:H43)</f>
        <v/>
      </c>
      <c r="I44">
        <f>SUM(I37:I43)</f>
        <v/>
      </c>
      <c r="J44">
        <f>SUM(J37:J43)</f>
        <v/>
      </c>
      <c r="K44">
        <f>SUM(K37:K43)</f>
        <v/>
      </c>
      <c r="L44">
        <f>SUM(L37:L43)</f>
        <v/>
      </c>
      <c r="M44">
        <f>SUM(M37:M43)</f>
        <v/>
      </c>
    </row>
    <row r="46">
      <c r="B46" s="41" t="inlineStr">
        <is>
          <t>Best Utility Supplier</t>
        </is>
      </c>
      <c r="E46" s="41" t="inlineStr">
        <is>
          <t>Selling Price</t>
        </is>
      </c>
    </row>
    <row r="47">
      <c r="B47">
        <f>_xlfn.XLOOKUP(C47,M37:M43,B37:B43)</f>
        <v/>
      </c>
      <c r="C47">
        <f>MAX(M37:M43)</f>
        <v/>
      </c>
      <c r="E47" t="n">
        <v>100</v>
      </c>
    </row>
    <row r="48">
      <c r="B48" s="41" t="inlineStr">
        <is>
          <t>Min Cost Supplier</t>
        </is>
      </c>
    </row>
    <row r="49">
      <c r="B49">
        <f>_xlfn.XLOOKUP(C49,E4:E10,B4:B10)</f>
        <v/>
      </c>
      <c r="C49">
        <f>MIN(E4:E10)</f>
        <v/>
      </c>
    </row>
    <row r="50">
      <c r="B50" s="41" t="inlineStr">
        <is>
          <t>Total Cost</t>
        </is>
      </c>
    </row>
    <row r="51">
      <c r="C51">
        <f>C49*(SUM(E25:E34))</f>
        <v/>
      </c>
    </row>
    <row r="54">
      <c r="B54" s="41" t="inlineStr">
        <is>
          <t>Model</t>
        </is>
      </c>
    </row>
    <row r="55">
      <c r="B55" s="41" t="inlineStr">
        <is>
          <t>Objective</t>
        </is>
      </c>
      <c r="C55">
        <f>C49</f>
        <v/>
      </c>
    </row>
    <row r="56">
      <c r="B56" s="41" t="inlineStr">
        <is>
          <t xml:space="preserve">Number of Matches </t>
        </is>
      </c>
      <c r="C56" t="n">
        <v>6</v>
      </c>
    </row>
    <row r="57">
      <c r="B57" s="41" t="inlineStr">
        <is>
          <t>Utility Threshold</t>
        </is>
      </c>
      <c r="C57" t="n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3"/>
  <sheetViews>
    <sheetView showGridLines="0" workbookViewId="0">
      <selection activeCell="A1" sqref="A1"/>
    </sheetView>
  </sheetViews>
  <sheetFormatPr baseColWidth="8" defaultColWidth="8.6640625" defaultRowHeight="14.4"/>
  <cols>
    <col width="8.6640625" customWidth="1" style="60" min="1" max="1"/>
    <col width="19" customWidth="1" style="3" min="2" max="2"/>
    <col width="13.6640625" customWidth="1" style="60" min="3" max="7"/>
    <col width="10.77734375" customWidth="1" style="60" min="8" max="8"/>
    <col width="18.44140625" customWidth="1" style="60" min="9" max="9"/>
    <col width="13.6640625" customWidth="1" style="60" min="10" max="10"/>
    <col width="16" customWidth="1" style="60" min="11" max="11"/>
    <col width="13.6640625" customWidth="1" style="60" min="12" max="14"/>
    <col width="12.109375" customWidth="1" style="60" min="15" max="15"/>
    <col width="13.109375" customWidth="1" style="60" min="16" max="16"/>
    <col width="11.77734375" customWidth="1" style="60" min="18" max="18"/>
  </cols>
  <sheetData>
    <row r="1">
      <c r="B1" s="35" t="inlineStr">
        <is>
          <t>Q1. Equal Weights</t>
        </is>
      </c>
      <c r="C1" s="34" t="n">
        <v>1</v>
      </c>
      <c r="D1" s="34" t="n">
        <v>1</v>
      </c>
      <c r="E1" s="34" t="n">
        <v>1</v>
      </c>
      <c r="F1" s="34" t="n">
        <v>1</v>
      </c>
      <c r="G1" s="34" t="n">
        <v>1</v>
      </c>
    </row>
    <row r="2">
      <c r="B2" s="35" t="inlineStr">
        <is>
          <t>Q2. Different Weights</t>
        </is>
      </c>
      <c r="C2" s="34" t="n">
        <v>1</v>
      </c>
      <c r="D2" s="34" t="n">
        <v>1</v>
      </c>
      <c r="E2" s="34" t="n">
        <v>1</v>
      </c>
      <c r="F2" s="34" t="n">
        <v>2</v>
      </c>
      <c r="G2" s="34" t="n">
        <v>2</v>
      </c>
    </row>
    <row r="3" ht="41.4" customHeight="1" s="60">
      <c r="B3" s="4" t="inlineStr">
        <is>
          <t>Supplier</t>
        </is>
      </c>
      <c r="C3" s="57" t="inlineStr">
        <is>
          <t>Environmental Risk</t>
        </is>
      </c>
      <c r="D3" s="57" t="inlineStr">
        <is>
          <t>Social Risk</t>
        </is>
      </c>
      <c r="E3" s="57" t="inlineStr">
        <is>
          <t>Cost Score</t>
        </is>
      </c>
      <c r="F3" s="57" t="inlineStr">
        <is>
          <t>Strategic Importance</t>
        </is>
      </c>
      <c r="G3" s="57" t="inlineStr">
        <is>
          <t>Improvement Potential</t>
        </is>
      </c>
      <c r="H3" s="16" t="inlineStr">
        <is>
          <t>Child Labor</t>
        </is>
      </c>
      <c r="I3" s="16" t="inlineStr">
        <is>
          <t>Banned Chemicals</t>
        </is>
      </c>
      <c r="J3" s="17" t="inlineStr">
        <is>
          <t>Low Product Quality</t>
        </is>
      </c>
      <c r="K3" s="33" t="inlineStr">
        <is>
          <t>Total Score</t>
        </is>
      </c>
      <c r="L3" s="14" t="inlineStr">
        <is>
          <t>Q1. Min Cost&amp; Enve&amp;Social Risk</t>
        </is>
      </c>
      <c r="M3" s="18" t="inlineStr">
        <is>
          <t xml:space="preserve">Q2. Max Improvement </t>
        </is>
      </c>
      <c r="R3" s="4" t="inlineStr">
        <is>
          <t>Supplier</t>
        </is>
      </c>
      <c r="S3" s="57" t="inlineStr">
        <is>
          <t>Environmental Risk</t>
        </is>
      </c>
      <c r="T3" s="57" t="inlineStr">
        <is>
          <t>Social Risk</t>
        </is>
      </c>
      <c r="U3" s="57" t="inlineStr">
        <is>
          <t>Cost Score</t>
        </is>
      </c>
      <c r="V3" s="57" t="inlineStr">
        <is>
          <t>Strategic Importance</t>
        </is>
      </c>
      <c r="W3" s="57" t="inlineStr">
        <is>
          <t>Improvement Potential</t>
        </is>
      </c>
      <c r="X3" s="17" t="inlineStr">
        <is>
          <t>Low Product Quality</t>
        </is>
      </c>
    </row>
    <row r="4">
      <c r="B4" s="10" t="inlineStr">
        <is>
          <t>A</t>
        </is>
      </c>
      <c r="C4" s="2" t="n">
        <v>2</v>
      </c>
      <c r="D4" s="2" t="n">
        <v>4</v>
      </c>
      <c r="E4" s="2" t="n">
        <v>1</v>
      </c>
      <c r="F4" s="2" t="n">
        <v>3</v>
      </c>
      <c r="G4" s="2" t="n">
        <v>4</v>
      </c>
      <c r="H4" s="6" t="n">
        <v>1</v>
      </c>
      <c r="I4" s="6" t="n">
        <v>0</v>
      </c>
      <c r="J4" s="6" t="n">
        <v>0</v>
      </c>
      <c r="K4" s="1">
        <f>SUM(C4:G4)</f>
        <v/>
      </c>
      <c r="L4" s="26">
        <f>SUMPRODUCT($C$1:$E$1,C4:E4)/SUM($C$1:$E$1)</f>
        <v/>
      </c>
      <c r="M4" s="26">
        <f>SUMPRODUCT(C4:G4,$C$2:$G$2)/SUM($C$2:$G$2)</f>
        <v/>
      </c>
      <c r="R4" s="10" t="inlineStr">
        <is>
          <t>A</t>
        </is>
      </c>
      <c r="S4" s="2" t="n">
        <v>2</v>
      </c>
      <c r="T4" s="2" t="n">
        <v>4</v>
      </c>
      <c r="U4" s="2" t="n">
        <v>1</v>
      </c>
      <c r="V4" s="2" t="n">
        <v>3</v>
      </c>
      <c r="W4" s="2" t="n">
        <v>4</v>
      </c>
      <c r="X4" s="6" t="n">
        <v>0</v>
      </c>
    </row>
    <row r="5">
      <c r="B5" s="10" t="inlineStr">
        <is>
          <t>B</t>
        </is>
      </c>
      <c r="C5" s="2" t="n">
        <v>3</v>
      </c>
      <c r="D5" s="2" t="n">
        <v>5</v>
      </c>
      <c r="E5" s="2" t="n">
        <v>2</v>
      </c>
      <c r="F5" s="2" t="n">
        <v>3</v>
      </c>
      <c r="G5" s="2" t="n">
        <v>3</v>
      </c>
      <c r="H5" s="6" t="n">
        <v>0</v>
      </c>
      <c r="I5" s="6" t="n">
        <v>0</v>
      </c>
      <c r="J5" s="6" t="n">
        <v>1</v>
      </c>
      <c r="K5" s="1">
        <f>SUM(C5:G5)</f>
        <v/>
      </c>
      <c r="L5" s="26">
        <f>SUMPRODUCT($C$1:$E$1,C5:E5)/SUM($C$1:$E$1)</f>
        <v/>
      </c>
      <c r="M5" s="26">
        <f>SUMPRODUCT(C5:G5,$C$2:$G$2)/SUM($C$2:$G$2)</f>
        <v/>
      </c>
      <c r="R5" s="10" t="inlineStr">
        <is>
          <t>B</t>
        </is>
      </c>
      <c r="S5" s="2" t="n">
        <v>3</v>
      </c>
      <c r="T5" s="2" t="n">
        <v>5</v>
      </c>
      <c r="U5" s="2" t="n">
        <v>2</v>
      </c>
      <c r="V5" s="2" t="n">
        <v>3</v>
      </c>
      <c r="W5" s="2" t="n">
        <v>3</v>
      </c>
      <c r="X5" s="6" t="n">
        <v>1</v>
      </c>
    </row>
    <row r="6">
      <c r="B6" s="10" t="inlineStr">
        <is>
          <t>C</t>
        </is>
      </c>
      <c r="C6" s="2" t="n">
        <v>2</v>
      </c>
      <c r="D6" s="2" t="n">
        <v>1</v>
      </c>
      <c r="E6" s="2" t="n">
        <v>3</v>
      </c>
      <c r="F6" s="2" t="n">
        <v>2</v>
      </c>
      <c r="G6" s="2" t="n">
        <v>3</v>
      </c>
      <c r="H6" s="6" t="n">
        <v>0</v>
      </c>
      <c r="I6" s="6" t="n">
        <v>1</v>
      </c>
      <c r="J6" s="6" t="n">
        <v>0</v>
      </c>
      <c r="K6" s="1">
        <f>SUM(C6:G6)</f>
        <v/>
      </c>
      <c r="L6" s="26">
        <f>SUMPRODUCT($C$1:$E$1,C6:E6)/SUM($C$1:$E$1)</f>
        <v/>
      </c>
      <c r="M6" s="26">
        <f>SUMPRODUCT(C6:G6,$C$2:$G$2)/SUM($C$2:$G$2)</f>
        <v/>
      </c>
      <c r="R6" s="10" t="inlineStr">
        <is>
          <t>C</t>
        </is>
      </c>
      <c r="S6" s="2" t="n">
        <v>2</v>
      </c>
      <c r="T6" s="2" t="n">
        <v>1</v>
      </c>
      <c r="U6" s="2" t="n">
        <v>3</v>
      </c>
      <c r="V6" s="2" t="n">
        <v>2</v>
      </c>
      <c r="W6" s="2" t="n">
        <v>3</v>
      </c>
      <c r="X6" s="6" t="n">
        <v>0</v>
      </c>
    </row>
    <row r="7">
      <c r="B7" s="10" t="inlineStr">
        <is>
          <t>D</t>
        </is>
      </c>
      <c r="C7" s="2" t="n">
        <v>2</v>
      </c>
      <c r="D7" s="2" t="n">
        <v>2</v>
      </c>
      <c r="E7" s="2" t="n">
        <v>5</v>
      </c>
      <c r="F7" s="2" t="n">
        <v>2</v>
      </c>
      <c r="G7" s="2" t="n">
        <v>2</v>
      </c>
      <c r="H7" s="6" t="n">
        <v>0</v>
      </c>
      <c r="I7" s="6" t="n">
        <v>0</v>
      </c>
      <c r="J7" s="6" t="n">
        <v>0</v>
      </c>
      <c r="K7" s="1">
        <f>SUM(C7:G7)</f>
        <v/>
      </c>
      <c r="L7" s="26">
        <f>SUMPRODUCT($C$1:$E$1,C7:E7)/SUM($C$1:$E$1)</f>
        <v/>
      </c>
      <c r="M7" s="26">
        <f>SUMPRODUCT(C7:G7,$C$2:$G$2)/SUM($C$2:$G$2)</f>
        <v/>
      </c>
      <c r="R7" s="10" t="inlineStr">
        <is>
          <t>D</t>
        </is>
      </c>
      <c r="S7" s="2" t="n">
        <v>2</v>
      </c>
      <c r="T7" s="2" t="n">
        <v>2</v>
      </c>
      <c r="U7" s="2" t="n">
        <v>5</v>
      </c>
      <c r="V7" s="2" t="n">
        <v>2</v>
      </c>
      <c r="W7" s="2" t="n">
        <v>2</v>
      </c>
      <c r="X7" s="6" t="n">
        <v>0</v>
      </c>
    </row>
    <row r="8">
      <c r="B8" s="10" t="inlineStr">
        <is>
          <t>E</t>
        </is>
      </c>
      <c r="C8" s="2" t="n">
        <v>3</v>
      </c>
      <c r="D8" s="2" t="n">
        <v>4</v>
      </c>
      <c r="E8" s="2" t="n">
        <v>3</v>
      </c>
      <c r="F8" s="2" t="n">
        <v>2</v>
      </c>
      <c r="G8" s="2" t="n">
        <v>5</v>
      </c>
      <c r="H8" s="6" t="n">
        <v>0</v>
      </c>
      <c r="I8" s="6" t="n">
        <v>0</v>
      </c>
      <c r="J8" s="6" t="n">
        <v>1</v>
      </c>
      <c r="K8" s="1">
        <f>SUM(C8:G8)</f>
        <v/>
      </c>
      <c r="L8" s="26">
        <f>SUMPRODUCT($C$1:$E$1,C8:E8)/SUM($C$1:$E$1)</f>
        <v/>
      </c>
      <c r="M8" s="26">
        <f>SUMPRODUCT(C8:G8,$C$2:$G$2)/SUM($C$2:$G$2)</f>
        <v/>
      </c>
      <c r="R8" s="10" t="inlineStr">
        <is>
          <t>E</t>
        </is>
      </c>
      <c r="S8" s="2" t="n">
        <v>3</v>
      </c>
      <c r="T8" s="2" t="n">
        <v>4</v>
      </c>
      <c r="U8" s="2" t="n">
        <v>3</v>
      </c>
      <c r="V8" s="2" t="n">
        <v>2</v>
      </c>
      <c r="W8" s="2" t="n">
        <v>5</v>
      </c>
      <c r="X8" s="6" t="n">
        <v>1</v>
      </c>
    </row>
    <row r="9">
      <c r="B9" s="10" t="inlineStr">
        <is>
          <t>F</t>
        </is>
      </c>
      <c r="C9" s="2" t="n">
        <v>5</v>
      </c>
      <c r="D9" s="2" t="n">
        <v>4</v>
      </c>
      <c r="E9" s="2" t="n">
        <v>2</v>
      </c>
      <c r="F9" s="2" t="n">
        <v>4</v>
      </c>
      <c r="G9" s="2" t="n">
        <v>4</v>
      </c>
      <c r="H9" s="6" t="n">
        <v>1</v>
      </c>
      <c r="I9" s="6" t="n">
        <v>1</v>
      </c>
      <c r="J9" s="6" t="n">
        <v>0</v>
      </c>
      <c r="K9" s="1">
        <f>SUM(C9:G9)</f>
        <v/>
      </c>
      <c r="L9" s="26">
        <f>SUMPRODUCT($C$1:$E$1,C9:E9)/SUM($C$1:$E$1)</f>
        <v/>
      </c>
      <c r="M9" s="26">
        <f>SUMPRODUCT(C9:G9,$C$2:$G$2)/SUM($C$2:$G$2)</f>
        <v/>
      </c>
      <c r="R9" s="10" t="inlineStr">
        <is>
          <t>F</t>
        </is>
      </c>
      <c r="S9" s="2" t="n">
        <v>5</v>
      </c>
      <c r="T9" s="2" t="n">
        <v>4</v>
      </c>
      <c r="U9" s="2" t="n">
        <v>2</v>
      </c>
      <c r="V9" s="2" t="n">
        <v>4</v>
      </c>
      <c r="W9" s="2" t="n">
        <v>4</v>
      </c>
      <c r="X9" s="6" t="n">
        <v>0</v>
      </c>
    </row>
    <row r="10">
      <c r="B10" s="10" t="inlineStr">
        <is>
          <t>G</t>
        </is>
      </c>
      <c r="C10" s="2" t="n">
        <v>2</v>
      </c>
      <c r="D10" s="2" t="n">
        <v>1</v>
      </c>
      <c r="E10" s="2" t="n">
        <v>3</v>
      </c>
      <c r="F10" s="2" t="n">
        <v>3</v>
      </c>
      <c r="G10" s="2" t="n">
        <v>3</v>
      </c>
      <c r="H10" s="6" t="n">
        <v>0</v>
      </c>
      <c r="I10" s="6" t="n">
        <v>0</v>
      </c>
      <c r="J10" s="6" t="n">
        <v>0</v>
      </c>
      <c r="K10" s="1">
        <f>SUM(C10:G10)</f>
        <v/>
      </c>
      <c r="L10" s="26">
        <f>SUMPRODUCT($C$1:$E$1,C10:E10)/SUM($C$1:$E$1)</f>
        <v/>
      </c>
      <c r="M10" s="26">
        <f>SUMPRODUCT(C10:G10,$C$2:$G$2)/SUM($C$2:$G$2)</f>
        <v/>
      </c>
      <c r="R10" s="10" t="inlineStr">
        <is>
          <t>G</t>
        </is>
      </c>
      <c r="S10" s="2" t="n">
        <v>2</v>
      </c>
      <c r="T10" s="2" t="n">
        <v>1</v>
      </c>
      <c r="U10" s="2" t="n">
        <v>3</v>
      </c>
      <c r="V10" s="2" t="n">
        <v>3</v>
      </c>
      <c r="W10" s="2" t="n">
        <v>3</v>
      </c>
      <c r="X10" s="6" t="n">
        <v>0</v>
      </c>
    </row>
    <row r="12">
      <c r="B12" s="62" t="inlineStr">
        <is>
          <t>Rank</t>
        </is>
      </c>
      <c r="C12" s="65" t="inlineStr">
        <is>
          <t>Environmental Risk</t>
        </is>
      </c>
      <c r="D12" s="63" t="inlineStr">
        <is>
          <t>Social Risk</t>
        </is>
      </c>
      <c r="E12" s="63" t="inlineStr">
        <is>
          <t>Cost Score</t>
        </is>
      </c>
      <c r="F12" s="63" t="inlineStr">
        <is>
          <t>Strategic Importance</t>
        </is>
      </c>
      <c r="G12" s="70" t="inlineStr">
        <is>
          <t>Improvement Potential</t>
        </is>
      </c>
      <c r="J12" s="19" t="inlineStr">
        <is>
          <t>Q1</t>
        </is>
      </c>
      <c r="K12" s="21" t="inlineStr">
        <is>
          <t>Q2</t>
        </is>
      </c>
      <c r="L12" s="20" t="inlineStr">
        <is>
          <t>Q3</t>
        </is>
      </c>
      <c r="Y12" s="51" t="inlineStr">
        <is>
          <t>Penalty1</t>
        </is>
      </c>
      <c r="Z12" s="51" t="inlineStr">
        <is>
          <t>Penalty2</t>
        </is>
      </c>
    </row>
    <row r="13" ht="34.95" customHeight="1" s="60">
      <c r="B13" s="58" t="n"/>
      <c r="C13" s="66" t="n"/>
      <c r="D13" s="64" t="n"/>
      <c r="E13" s="64" t="n"/>
      <c r="F13" s="64" t="n"/>
      <c r="G13" s="71" t="n"/>
      <c r="J13" s="19" t="inlineStr">
        <is>
          <t>Min Cost + Enve&amp;Social Risk</t>
        </is>
      </c>
      <c r="K13" s="22" t="inlineStr">
        <is>
          <t>Min Cost + Max Improvement</t>
        </is>
      </c>
      <c r="L13" s="17" t="inlineStr">
        <is>
          <t>Min Cost/No Quality Issues</t>
        </is>
      </c>
      <c r="R13" s="44" t="inlineStr">
        <is>
          <t>Policy</t>
        </is>
      </c>
      <c r="S13" s="48" t="n">
        <v>1</v>
      </c>
      <c r="T13" s="48" t="n">
        <v>1</v>
      </c>
      <c r="U13" s="48" t="n">
        <v>1</v>
      </c>
      <c r="V13" s="48" t="n">
        <v>1</v>
      </c>
      <c r="W13" s="48" t="n">
        <v>1</v>
      </c>
      <c r="X13" s="49" t="n">
        <v>1</v>
      </c>
      <c r="Y13" s="48" t="n">
        <v>1</v>
      </c>
      <c r="Z13" s="48" t="n">
        <v>1</v>
      </c>
    </row>
    <row r="14">
      <c r="B14" s="62" t="inlineStr">
        <is>
          <t>Supplier 1</t>
        </is>
      </c>
      <c r="C14" s="2">
        <f t="array" ref="C14:C20">_xlfn.SORTBY($B$4:$B$10, C4:C10, 1)</f>
        <v/>
      </c>
      <c r="D14" s="2">
        <f t="array" ref="D14:D20">_xlfn.SORTBY(B4:B10,D4:D10)</f>
        <v/>
      </c>
      <c r="E14" s="2">
        <f t="array" ref="E14:E20">_xlfn.SORTBY(B4:B10,E4:E10)</f>
        <v/>
      </c>
      <c r="F14" s="2">
        <f t="array" ref="F14:F20">_xlfn.SORTBY(B4:B10,F4:F10)</f>
        <v/>
      </c>
      <c r="G14" s="2">
        <f t="array" ref="G14:G20">_xlfn.SORTBY(B4:B10,G4:G10)</f>
        <v/>
      </c>
      <c r="J14" s="11">
        <f t="array" ref="J14:J20">_xlfn.SORTBY(B4:B10,L4:L10)</f>
        <v/>
      </c>
      <c r="K14" s="38">
        <f t="array" ref="K14:K20">_xlfn.SORTBY(B4:B10,M4:M10)</f>
        <v/>
      </c>
      <c r="L14" s="37" t="inlineStr">
        <is>
          <t>A</t>
        </is>
      </c>
      <c r="Q14" s="8" t="n"/>
      <c r="R14" s="8" t="n"/>
    </row>
    <row r="15">
      <c r="B15" s="62" t="inlineStr">
        <is>
          <t>Supplier 2</t>
        </is>
      </c>
      <c r="C15" s="2" t="inlineStr">
        <is>
          <t>C</t>
        </is>
      </c>
      <c r="D15" s="2" t="inlineStr">
        <is>
          <t>G</t>
        </is>
      </c>
      <c r="E15" s="2" t="inlineStr">
        <is>
          <t>B</t>
        </is>
      </c>
      <c r="F15" s="2" t="inlineStr">
        <is>
          <t>D</t>
        </is>
      </c>
      <c r="G15" s="2" t="inlineStr">
        <is>
          <t>B</t>
        </is>
      </c>
      <c r="J15" s="36" t="inlineStr">
        <is>
          <t>G</t>
        </is>
      </c>
      <c r="K15" s="31" t="inlineStr">
        <is>
          <t>D</t>
        </is>
      </c>
      <c r="L15" s="32" t="inlineStr">
        <is>
          <t>B</t>
        </is>
      </c>
      <c r="M15" s="28" t="inlineStr">
        <is>
          <t>quality issues</t>
        </is>
      </c>
      <c r="Q15" s="8" t="n"/>
      <c r="R15" s="8" t="n"/>
    </row>
    <row r="16">
      <c r="B16" s="62" t="inlineStr">
        <is>
          <t>Supplier 3</t>
        </is>
      </c>
      <c r="C16" s="2" t="inlineStr">
        <is>
          <t>D</t>
        </is>
      </c>
      <c r="D16" s="2" t="inlineStr">
        <is>
          <t>D</t>
        </is>
      </c>
      <c r="E16" s="2" t="inlineStr">
        <is>
          <t>F</t>
        </is>
      </c>
      <c r="F16" s="2" t="inlineStr">
        <is>
          <t>E</t>
        </is>
      </c>
      <c r="G16" s="2" t="inlineStr">
        <is>
          <t>C</t>
        </is>
      </c>
      <c r="J16" s="24" t="inlineStr">
        <is>
          <t>A</t>
        </is>
      </c>
      <c r="K16" s="1" t="inlineStr">
        <is>
          <t>G</t>
        </is>
      </c>
      <c r="L16" s="37" t="inlineStr">
        <is>
          <t>F</t>
        </is>
      </c>
      <c r="Q16" s="8" t="n"/>
      <c r="R16" s="8" t="n"/>
    </row>
    <row r="17" ht="55.2" customHeight="1" s="60">
      <c r="A17" s="5" t="n"/>
      <c r="B17" s="62" t="inlineStr">
        <is>
          <t>Supplier 4</t>
        </is>
      </c>
      <c r="C17" s="2" t="inlineStr">
        <is>
          <t>G</t>
        </is>
      </c>
      <c r="D17" s="2" t="inlineStr">
        <is>
          <t>A</t>
        </is>
      </c>
      <c r="E17" s="2" t="inlineStr">
        <is>
          <t>C</t>
        </is>
      </c>
      <c r="F17" s="2" t="inlineStr">
        <is>
          <t>A</t>
        </is>
      </c>
      <c r="G17" s="2" t="inlineStr">
        <is>
          <t>G</t>
        </is>
      </c>
      <c r="J17" s="27" t="inlineStr">
        <is>
          <t>D</t>
        </is>
      </c>
      <c r="K17" s="25" t="inlineStr">
        <is>
          <t>A</t>
        </is>
      </c>
      <c r="L17" s="25" t="inlineStr">
        <is>
          <t>C</t>
        </is>
      </c>
      <c r="Q17" s="8" t="n"/>
      <c r="R17" s="4" t="inlineStr">
        <is>
          <t>Supplier</t>
        </is>
      </c>
      <c r="S17" s="57" t="inlineStr">
        <is>
          <t>Environmental Risk</t>
        </is>
      </c>
      <c r="T17" s="57" t="inlineStr">
        <is>
          <t>Social Risk</t>
        </is>
      </c>
      <c r="U17" s="57" t="inlineStr">
        <is>
          <t>Cost Score</t>
        </is>
      </c>
      <c r="V17" s="57" t="inlineStr">
        <is>
          <t>Strategic Importance</t>
        </is>
      </c>
      <c r="W17" s="57" t="inlineStr">
        <is>
          <t>Improvement Potential</t>
        </is>
      </c>
      <c r="X17" s="17" t="inlineStr">
        <is>
          <t>Low Product Quality</t>
        </is>
      </c>
      <c r="Y17" s="33" t="inlineStr">
        <is>
          <t>Total Score</t>
        </is>
      </c>
      <c r="Z17" s="14" t="inlineStr">
        <is>
          <t>Q1. Min Cost&amp; Enve&amp;Social Risk</t>
        </is>
      </c>
      <c r="AA17" s="18" t="inlineStr">
        <is>
          <t xml:space="preserve">Q2. Max Improvement </t>
        </is>
      </c>
    </row>
    <row r="18">
      <c r="A18" s="5" t="n"/>
      <c r="B18" s="62" t="inlineStr">
        <is>
          <t>Supplier 5</t>
        </is>
      </c>
      <c r="C18" s="2" t="inlineStr">
        <is>
          <t>B</t>
        </is>
      </c>
      <c r="D18" s="2" t="inlineStr">
        <is>
          <t>E</t>
        </is>
      </c>
      <c r="E18" s="2" t="inlineStr">
        <is>
          <t>E</t>
        </is>
      </c>
      <c r="F18" s="2" t="inlineStr">
        <is>
          <t>B</t>
        </is>
      </c>
      <c r="G18" s="2" t="inlineStr">
        <is>
          <t>A</t>
        </is>
      </c>
      <c r="J18" s="30" t="inlineStr">
        <is>
          <t>B</t>
        </is>
      </c>
      <c r="K18" s="29" t="inlineStr">
        <is>
          <t>B</t>
        </is>
      </c>
      <c r="L18" s="32" t="inlineStr">
        <is>
          <t>E</t>
        </is>
      </c>
      <c r="M18" s="28" t="inlineStr">
        <is>
          <t>quality issues</t>
        </is>
      </c>
      <c r="R18" s="10" t="inlineStr">
        <is>
          <t>A</t>
        </is>
      </c>
      <c r="S18" s="2">
        <f>C4*S$13</f>
        <v/>
      </c>
      <c r="T18" s="2">
        <f>D4*T$13</f>
        <v/>
      </c>
      <c r="U18" s="2">
        <f>E4*U$13</f>
        <v/>
      </c>
      <c r="V18" s="2">
        <f>F4*V$13</f>
        <v/>
      </c>
      <c r="W18" s="2">
        <f>G4*W$13</f>
        <v/>
      </c>
      <c r="X18" s="6">
        <f>X$13*J4</f>
        <v/>
      </c>
      <c r="Y18" s="1">
        <f>SUM(S18:W18)</f>
        <v/>
      </c>
      <c r="Z18" s="26">
        <f>SUMPRODUCT($C$1:$E$1,S18:U18)/SUM($C$1:$E$1)</f>
        <v/>
      </c>
      <c r="AA18" s="26">
        <f>SUMPRODUCT(S18:W18,$C$2:$G$2)/SUM($C$2:$G$2)</f>
        <v/>
      </c>
    </row>
    <row r="19">
      <c r="A19" s="5" t="n"/>
      <c r="B19" s="62" t="inlineStr">
        <is>
          <t>Supplier 6</t>
        </is>
      </c>
      <c r="C19" s="2" t="inlineStr">
        <is>
          <t>E</t>
        </is>
      </c>
      <c r="D19" s="2" t="inlineStr">
        <is>
          <t>F</t>
        </is>
      </c>
      <c r="E19" s="2" t="inlineStr">
        <is>
          <t>G</t>
        </is>
      </c>
      <c r="F19" s="2" t="inlineStr">
        <is>
          <t>G</t>
        </is>
      </c>
      <c r="G19" s="2" t="inlineStr">
        <is>
          <t>F</t>
        </is>
      </c>
      <c r="J19" s="30" t="inlineStr">
        <is>
          <t>E</t>
        </is>
      </c>
      <c r="K19" s="29" t="inlineStr">
        <is>
          <t>E</t>
        </is>
      </c>
      <c r="L19" s="23" t="inlineStr">
        <is>
          <t>G</t>
        </is>
      </c>
      <c r="R19" s="10" t="inlineStr">
        <is>
          <t>B</t>
        </is>
      </c>
      <c r="S19" s="2">
        <f>C5*S$13</f>
        <v/>
      </c>
      <c r="T19" s="2">
        <f>D5*T$13</f>
        <v/>
      </c>
      <c r="U19" s="2">
        <f>E5*U$13</f>
        <v/>
      </c>
      <c r="V19" s="2">
        <f>F5*V$13</f>
        <v/>
      </c>
      <c r="W19" s="2">
        <f>G5*W$13</f>
        <v/>
      </c>
      <c r="X19" s="6">
        <f>X$13*J5</f>
        <v/>
      </c>
      <c r="Y19" s="1">
        <f>SUM(S19:W19)</f>
        <v/>
      </c>
      <c r="Z19" s="26">
        <f>SUMPRODUCT($C$1:$E$1,S19:U19)/SUM($C$1:$E$1)</f>
        <v/>
      </c>
      <c r="AA19" s="26">
        <f>SUMPRODUCT(S19:W19,$C$2:$G$2)/SUM($C$2:$G$2)</f>
        <v/>
      </c>
    </row>
    <row r="20">
      <c r="B20" s="62" t="inlineStr">
        <is>
          <t>Supplier 7</t>
        </is>
      </c>
      <c r="C20" s="2" t="inlineStr">
        <is>
          <t>F</t>
        </is>
      </c>
      <c r="D20" s="2" t="inlineStr">
        <is>
          <t>B</t>
        </is>
      </c>
      <c r="E20" s="2" t="inlineStr">
        <is>
          <t>D</t>
        </is>
      </c>
      <c r="F20" s="2" t="inlineStr">
        <is>
          <t>F</t>
        </is>
      </c>
      <c r="G20" s="2" t="inlineStr">
        <is>
          <t>E</t>
        </is>
      </c>
      <c r="J20" s="24" t="inlineStr">
        <is>
          <t>F</t>
        </is>
      </c>
      <c r="K20" s="25" t="inlineStr">
        <is>
          <t>F</t>
        </is>
      </c>
      <c r="L20" s="23" t="inlineStr">
        <is>
          <t>D</t>
        </is>
      </c>
      <c r="R20" s="10" t="inlineStr">
        <is>
          <t>C</t>
        </is>
      </c>
      <c r="S20" s="2">
        <f>C6*S$13</f>
        <v/>
      </c>
      <c r="T20" s="2">
        <f>D6*T$13</f>
        <v/>
      </c>
      <c r="U20" s="2">
        <f>E6*U$13</f>
        <v/>
      </c>
      <c r="V20" s="2">
        <f>F6*V$13</f>
        <v/>
      </c>
      <c r="W20" s="2">
        <f>G6*W$13</f>
        <v/>
      </c>
      <c r="X20" s="6">
        <f>X$13*J6</f>
        <v/>
      </c>
      <c r="Y20" s="1">
        <f>SUM(S20:W20)</f>
        <v/>
      </c>
      <c r="Z20" s="26">
        <f>SUMPRODUCT($C$1:$E$1,S20:U20)/SUM($C$1:$E$1)</f>
        <v/>
      </c>
      <c r="AA20" s="26">
        <f>SUMPRODUCT(S20:W20,$C$2:$G$2)/SUM($C$2:$G$2)</f>
        <v/>
      </c>
    </row>
    <row r="21">
      <c r="I21" s="39" t="inlineStr">
        <is>
          <t>Selected Ones</t>
        </is>
      </c>
      <c r="J21" s="40" t="inlineStr">
        <is>
          <t>C &amp; G</t>
        </is>
      </c>
      <c r="K21" s="40" t="inlineStr">
        <is>
          <t>C &amp; D</t>
        </is>
      </c>
      <c r="L21" s="40" t="inlineStr">
        <is>
          <t>A &amp; F</t>
        </is>
      </c>
      <c r="R21" s="10" t="inlineStr">
        <is>
          <t>D</t>
        </is>
      </c>
      <c r="S21" s="2">
        <f>C7*S$13</f>
        <v/>
      </c>
      <c r="T21" s="2">
        <f>D7*T$13</f>
        <v/>
      </c>
      <c r="U21" s="2">
        <f>E7*U$13</f>
        <v/>
      </c>
      <c r="V21" s="2">
        <f>F7*V$13</f>
        <v/>
      </c>
      <c r="W21" s="2">
        <f>G7*W$13</f>
        <v/>
      </c>
      <c r="X21" s="6">
        <f>X$13*J7</f>
        <v/>
      </c>
      <c r="Y21" s="1">
        <f>SUM(S21:W21)</f>
        <v/>
      </c>
      <c r="Z21" s="26">
        <f>SUMPRODUCT($C$1:$E$1,S21:U21)/SUM($C$1:$E$1)</f>
        <v/>
      </c>
      <c r="AA21" s="26">
        <f>SUMPRODUCT(S21:W21,$C$2:$G$2)/SUM($C$2:$G$2)</f>
        <v/>
      </c>
    </row>
    <row r="22">
      <c r="R22" s="10" t="inlineStr">
        <is>
          <t>E</t>
        </is>
      </c>
      <c r="S22" s="2">
        <f>C8*S$13</f>
        <v/>
      </c>
      <c r="T22" s="2">
        <f>D8*T$13</f>
        <v/>
      </c>
      <c r="U22" s="2">
        <f>E8*U$13</f>
        <v/>
      </c>
      <c r="V22" s="2">
        <f>F8*V$13</f>
        <v/>
      </c>
      <c r="W22" s="2">
        <f>G8*W$13</f>
        <v/>
      </c>
      <c r="X22" s="6">
        <f>X$13*J8</f>
        <v/>
      </c>
      <c r="Y22" s="1">
        <f>SUM(S22:W22)</f>
        <v/>
      </c>
      <c r="Z22" s="26">
        <f>SUMPRODUCT($C$1:$E$1,S22:U22)/SUM($C$1:$E$1)</f>
        <v/>
      </c>
      <c r="AA22" s="26">
        <f>SUMPRODUCT(S22:W22,$C$2:$G$2)/SUM($C$2:$G$2)</f>
        <v/>
      </c>
    </row>
    <row r="23">
      <c r="R23" s="10" t="inlineStr">
        <is>
          <t>F</t>
        </is>
      </c>
      <c r="S23" s="2">
        <f>C9*S$13</f>
        <v/>
      </c>
      <c r="T23" s="2">
        <f>D9*T$13</f>
        <v/>
      </c>
      <c r="U23" s="2">
        <f>E9*U$13</f>
        <v/>
      </c>
      <c r="V23" s="2">
        <f>F9*V$13</f>
        <v/>
      </c>
      <c r="W23" s="2">
        <f>G9*W$13</f>
        <v/>
      </c>
      <c r="X23" s="6">
        <f>X$13*J9</f>
        <v/>
      </c>
      <c r="Y23" s="1">
        <f>SUM(S23:W23)</f>
        <v/>
      </c>
      <c r="Z23" s="26">
        <f>SUMPRODUCT($C$1:$E$1,S23:U23)/SUM($C$1:$E$1)</f>
        <v/>
      </c>
      <c r="AA23" s="26">
        <f>SUMPRODUCT(S23:W23,$C$2:$G$2)/SUM($C$2:$G$2)</f>
        <v/>
      </c>
    </row>
    <row r="24" ht="41.4" customHeight="1" s="60">
      <c r="B24" s="42" t="inlineStr">
        <is>
          <t>Users</t>
        </is>
      </c>
      <c r="C24" s="57" t="inlineStr">
        <is>
          <t>Environmental Risk</t>
        </is>
      </c>
      <c r="D24" s="57" t="inlineStr">
        <is>
          <t>Social Risk</t>
        </is>
      </c>
      <c r="E24" s="57" t="inlineStr">
        <is>
          <t>Cost Score</t>
        </is>
      </c>
      <c r="F24" s="57" t="inlineStr">
        <is>
          <t>Strategic Importance</t>
        </is>
      </c>
      <c r="G24" s="57" t="inlineStr">
        <is>
          <t>Improvement Potential</t>
        </is>
      </c>
      <c r="H24" s="17" t="inlineStr">
        <is>
          <t>Low Product Quality</t>
        </is>
      </c>
      <c r="I24" s="57" t="inlineStr">
        <is>
          <t>Utility Function</t>
        </is>
      </c>
      <c r="R24" s="10" t="inlineStr">
        <is>
          <t>G</t>
        </is>
      </c>
      <c r="S24" s="2">
        <f>C10*S$13</f>
        <v/>
      </c>
      <c r="T24" s="2">
        <f>D10*T$13</f>
        <v/>
      </c>
      <c r="U24" s="2">
        <f>E10*U$13</f>
        <v/>
      </c>
      <c r="V24" s="2">
        <f>F10*V$13</f>
        <v/>
      </c>
      <c r="W24" s="2">
        <f>G10*W$13</f>
        <v/>
      </c>
      <c r="X24" s="6">
        <f>X$13*J10</f>
        <v/>
      </c>
      <c r="Y24" s="1">
        <f>SUM(S24:W24)</f>
        <v/>
      </c>
      <c r="Z24" s="26">
        <f>SUMPRODUCT($C$1:$E$1,S24:U24)/SUM($C$1:$E$1)</f>
        <v/>
      </c>
      <c r="AA24" s="26">
        <f>SUMPRODUCT(S24:W24,$C$2:$G$2)/SUM($C$2:$G$2)</f>
        <v/>
      </c>
    </row>
    <row r="25">
      <c r="B25" s="43" t="n">
        <v>1</v>
      </c>
      <c r="C25" s="2" t="n">
        <v>0.3</v>
      </c>
      <c r="D25" s="2" t="n">
        <v>0.2</v>
      </c>
      <c r="E25" s="2" t="n">
        <v>0.4</v>
      </c>
      <c r="F25" s="2" t="n">
        <v>0.1</v>
      </c>
      <c r="G25" s="2" t="n">
        <v>0.1</v>
      </c>
      <c r="H25" s="6" t="n">
        <v>0.2</v>
      </c>
      <c r="I25" s="1">
        <f>C25&amp;"x1+ "&amp;D25&amp;"x2+ "&amp;E25&amp;"x3+ "&amp;F25&amp;"x4+ "&amp;G25&amp;"x5+ -"&amp;H25&amp;"x6"</f>
        <v/>
      </c>
    </row>
    <row r="26">
      <c r="B26" s="43" t="n">
        <v>2</v>
      </c>
      <c r="C26" s="2" t="n">
        <v>0.25</v>
      </c>
      <c r="D26" s="2" t="n">
        <v>0.15</v>
      </c>
      <c r="E26" s="2" t="n">
        <v>0.1</v>
      </c>
      <c r="F26" s="2" t="n">
        <v>0.1</v>
      </c>
      <c r="G26" s="2" t="n">
        <v>0.1</v>
      </c>
      <c r="H26" s="6" t="n">
        <v>0.3</v>
      </c>
      <c r="I26" s="1">
        <f>C26&amp;"x1+ "&amp;D26&amp;"x2+ "&amp;E26&amp;"x3+ "&amp;F26&amp;"x4+ "&amp;G26&amp;"x5+ -"&amp;H26&amp;"x6"</f>
        <v/>
      </c>
    </row>
    <row r="27" ht="41.4" customHeight="1" s="60">
      <c r="B27" s="43" t="n">
        <v>3</v>
      </c>
      <c r="C27" s="2" t="n">
        <v>0.15</v>
      </c>
      <c r="D27" s="2" t="n">
        <v>0.3</v>
      </c>
      <c r="E27" s="2" t="n">
        <v>0.1</v>
      </c>
      <c r="F27" s="2" t="n">
        <v>0.1</v>
      </c>
      <c r="G27" s="2" t="n">
        <v>0.15</v>
      </c>
      <c r="H27" s="6" t="n">
        <v>0.2</v>
      </c>
      <c r="I27" s="1">
        <f>C27&amp;"x1+ "&amp;D27&amp;"x2+ "&amp;E27&amp;"x3+ "&amp;F27&amp;"x4+ "&amp;G27&amp;"x5+ -"&amp;H27&amp;"x6"</f>
        <v/>
      </c>
      <c r="R27" s="4" t="inlineStr">
        <is>
          <t>Supplier</t>
        </is>
      </c>
      <c r="S27" s="57" t="inlineStr">
        <is>
          <t>Environmental Risk</t>
        </is>
      </c>
      <c r="T27" s="57" t="inlineStr">
        <is>
          <t>Social Risk</t>
        </is>
      </c>
      <c r="U27" s="57" t="inlineStr">
        <is>
          <t>Cost Score</t>
        </is>
      </c>
      <c r="V27" s="57" t="inlineStr">
        <is>
          <t>Strategic Importance</t>
        </is>
      </c>
      <c r="W27" s="57" t="inlineStr">
        <is>
          <t>Improvement Potential</t>
        </is>
      </c>
      <c r="X27" s="17" t="inlineStr">
        <is>
          <t>Low Product Quality</t>
        </is>
      </c>
      <c r="Y27" s="33" t="inlineStr">
        <is>
          <t>Effective Cost</t>
        </is>
      </c>
    </row>
    <row r="28">
      <c r="B28" s="43" t="n">
        <v>4</v>
      </c>
      <c r="C28" s="2" t="n">
        <v>0.1</v>
      </c>
      <c r="D28" s="2" t="n">
        <v>0.1</v>
      </c>
      <c r="E28" s="2" t="n">
        <v>0.4</v>
      </c>
      <c r="F28" s="2" t="n">
        <v>0.15</v>
      </c>
      <c r="G28" s="2" t="n">
        <v>0.1</v>
      </c>
      <c r="H28" s="6" t="n">
        <v>0.15</v>
      </c>
      <c r="I28" s="1">
        <f>C28&amp;"x1+ "&amp;D28&amp;"x2+ "&amp;E28&amp;"x3+ "&amp;F28&amp;"x4+ "&amp;G28&amp;"x5+ -"&amp;H28&amp;"x6"</f>
        <v/>
      </c>
      <c r="R28" s="10" t="inlineStr">
        <is>
          <t>A</t>
        </is>
      </c>
      <c r="S28" s="2">
        <f>S18</f>
        <v/>
      </c>
      <c r="T28" s="2">
        <f>T18</f>
        <v/>
      </c>
      <c r="U28" s="2">
        <f>U18</f>
        <v/>
      </c>
      <c r="V28" s="2">
        <f>V18</f>
        <v/>
      </c>
      <c r="W28" s="2">
        <f>W18</f>
        <v/>
      </c>
      <c r="X28" s="2">
        <f>X18</f>
        <v/>
      </c>
      <c r="Y28" s="1">
        <f>SUM(S28:W28)</f>
        <v/>
      </c>
    </row>
    <row r="29">
      <c r="B29" s="43" t="n">
        <v>5</v>
      </c>
      <c r="C29" s="2" t="n">
        <v>0.05</v>
      </c>
      <c r="D29" s="2" t="n">
        <v>0.05</v>
      </c>
      <c r="E29" s="2" t="n">
        <v>0.5</v>
      </c>
      <c r="F29" s="2" t="n">
        <v>0.15</v>
      </c>
      <c r="G29" s="2" t="n">
        <v>0.1</v>
      </c>
      <c r="H29" s="6" t="n">
        <v>0.15</v>
      </c>
      <c r="I29" s="1">
        <f>C29&amp;"x1+ "&amp;D29&amp;"x2+ "&amp;E29&amp;"x3+ "&amp;F29&amp;"x4+ "&amp;G29&amp;"x5+ -"&amp;H29&amp;"x6"</f>
        <v/>
      </c>
      <c r="R29" s="10" t="inlineStr">
        <is>
          <t>B</t>
        </is>
      </c>
      <c r="S29" s="2">
        <f>S19</f>
        <v/>
      </c>
      <c r="T29" s="2">
        <f>T19</f>
        <v/>
      </c>
      <c r="U29" s="2">
        <f>U19</f>
        <v/>
      </c>
      <c r="V29" s="2">
        <f>V19</f>
        <v/>
      </c>
      <c r="W29" s="2">
        <f>W19</f>
        <v/>
      </c>
      <c r="X29" s="2">
        <f>X19</f>
        <v/>
      </c>
      <c r="Y29" s="1">
        <f>SUM(S29:W29)</f>
        <v/>
      </c>
    </row>
    <row r="30">
      <c r="B30" s="43" t="n">
        <v>6</v>
      </c>
      <c r="C30" s="2" t="n">
        <v>0.05</v>
      </c>
      <c r="D30" s="2" t="n">
        <v>0.1</v>
      </c>
      <c r="E30" s="2" t="n">
        <v>0.35</v>
      </c>
      <c r="F30" s="2" t="n">
        <v>0.15</v>
      </c>
      <c r="G30" s="2" t="n">
        <v>0.1</v>
      </c>
      <c r="H30" s="6" t="n">
        <v>0.25</v>
      </c>
      <c r="I30" s="1">
        <f>C30&amp;"x1+ "&amp;D30&amp;"x2+ "&amp;E30&amp;"x3+ "&amp;F30&amp;"x4+ "&amp;G30&amp;"x5+ -"&amp;H30&amp;"x6"</f>
        <v/>
      </c>
      <c r="R30" s="10" t="inlineStr">
        <is>
          <t>C</t>
        </is>
      </c>
      <c r="S30" s="2">
        <f>S20</f>
        <v/>
      </c>
      <c r="T30" s="2">
        <f>T20</f>
        <v/>
      </c>
      <c r="U30" s="2">
        <f>U20</f>
        <v/>
      </c>
      <c r="V30" s="2">
        <f>V20</f>
        <v/>
      </c>
      <c r="W30" s="2">
        <f>W20</f>
        <v/>
      </c>
      <c r="X30" s="2">
        <f>X20</f>
        <v/>
      </c>
      <c r="Y30" s="1">
        <f>SUM(S30:W30)</f>
        <v/>
      </c>
    </row>
    <row r="31">
      <c r="B31" s="43" t="n">
        <v>7</v>
      </c>
      <c r="C31" s="2" t="n">
        <v>0.1</v>
      </c>
      <c r="D31" s="2" t="n">
        <v>0.1</v>
      </c>
      <c r="E31" s="2" t="n">
        <v>0.15</v>
      </c>
      <c r="F31" s="2" t="n">
        <v>0.35</v>
      </c>
      <c r="G31" s="2" t="n">
        <v>0.2</v>
      </c>
      <c r="H31" s="6" t="n">
        <v>0.1</v>
      </c>
      <c r="I31" s="1">
        <f>C31&amp;"x1+ "&amp;D31&amp;"x2+ "&amp;E31&amp;"x3+ "&amp;F31&amp;"x4+ "&amp;G31&amp;"x5+ -"&amp;H31&amp;"x6"</f>
        <v/>
      </c>
      <c r="R31" s="10" t="inlineStr">
        <is>
          <t>D</t>
        </is>
      </c>
      <c r="S31" s="2">
        <f>S21</f>
        <v/>
      </c>
      <c r="T31" s="2">
        <f>T21</f>
        <v/>
      </c>
      <c r="U31" s="2">
        <f>U21</f>
        <v/>
      </c>
      <c r="V31" s="2">
        <f>V21</f>
        <v/>
      </c>
      <c r="W31" s="2">
        <f>W21</f>
        <v/>
      </c>
      <c r="X31" s="2">
        <f>X21</f>
        <v/>
      </c>
      <c r="Y31" s="1">
        <f>SUM(S31:W31)</f>
        <v/>
      </c>
    </row>
    <row r="32">
      <c r="B32" s="41" t="n">
        <v>8</v>
      </c>
      <c r="C32" s="2" t="n">
        <v>0.1</v>
      </c>
      <c r="D32" s="2" t="n">
        <v>0.1</v>
      </c>
      <c r="E32" s="2" t="n">
        <v>0.65</v>
      </c>
      <c r="F32" s="2" t="n">
        <v>0.25</v>
      </c>
      <c r="G32" s="2" t="n">
        <v>0.3</v>
      </c>
      <c r="H32" s="6" t="n">
        <v>0.1</v>
      </c>
      <c r="I32" s="1">
        <f>C32&amp;"x1+ "&amp;D32&amp;"x2+ "&amp;E32&amp;"x3+ "&amp;F32&amp;"x4+ "&amp;G32&amp;"x5+ -"&amp;H32&amp;"x6"</f>
        <v/>
      </c>
      <c r="R32" s="10" t="inlineStr">
        <is>
          <t>E</t>
        </is>
      </c>
      <c r="S32" s="2">
        <f>S22</f>
        <v/>
      </c>
      <c r="T32" s="2">
        <f>T22</f>
        <v/>
      </c>
      <c r="U32" s="2">
        <f>U22</f>
        <v/>
      </c>
      <c r="V32" s="2">
        <f>V22</f>
        <v/>
      </c>
      <c r="W32" s="2">
        <f>W22</f>
        <v/>
      </c>
      <c r="X32" s="2">
        <f>X22</f>
        <v/>
      </c>
      <c r="Y32" s="1">
        <f>SUM(S32:W32)</f>
        <v/>
      </c>
    </row>
    <row r="33">
      <c r="B33" s="41" t="n">
        <v>9</v>
      </c>
      <c r="C33" s="2" t="n">
        <v>0.2</v>
      </c>
      <c r="D33" s="2" t="n">
        <v>0.15</v>
      </c>
      <c r="E33" s="2" t="n">
        <v>0.2</v>
      </c>
      <c r="F33" s="2" t="n">
        <v>0.15</v>
      </c>
      <c r="G33" s="2" t="n">
        <v>0.1</v>
      </c>
      <c r="H33" s="6" t="n">
        <v>0.2</v>
      </c>
      <c r="I33" s="1">
        <f>C33&amp;"x1+ "&amp;D33&amp;"x2+ "&amp;E33&amp;"x3+ "&amp;F33&amp;"x4+ "&amp;G33&amp;"x5+ -"&amp;H33&amp;"x6"</f>
        <v/>
      </c>
      <c r="R33" s="10" t="inlineStr">
        <is>
          <t>F</t>
        </is>
      </c>
      <c r="S33" s="2">
        <f>S23</f>
        <v/>
      </c>
      <c r="T33" s="2">
        <f>T23</f>
        <v/>
      </c>
      <c r="U33" s="2">
        <f>U23</f>
        <v/>
      </c>
      <c r="V33" s="2">
        <f>V23</f>
        <v/>
      </c>
      <c r="W33" s="2">
        <f>W23</f>
        <v/>
      </c>
      <c r="X33" s="2">
        <f>X23</f>
        <v/>
      </c>
      <c r="Y33" s="1">
        <f>SUM(S33:W33)</f>
        <v/>
      </c>
    </row>
    <row r="34">
      <c r="B34" s="41" t="n">
        <v>10</v>
      </c>
      <c r="C34" s="2" t="n">
        <v>0.15</v>
      </c>
      <c r="D34" s="2" t="n">
        <v>0.15</v>
      </c>
      <c r="E34" s="2" t="n">
        <v>0.15</v>
      </c>
      <c r="F34" s="2" t="n">
        <v>0.15</v>
      </c>
      <c r="G34" s="2" t="n">
        <v>0.1</v>
      </c>
      <c r="H34" s="6" t="n">
        <v>0.3</v>
      </c>
      <c r="I34" s="1">
        <f>C34&amp;"x1+ "&amp;D34&amp;"x2+ "&amp;E34&amp;"x3+ "&amp;F34&amp;"x4+ "&amp;G34&amp;"x5+ -"&amp;H34&amp;"x6"</f>
        <v/>
      </c>
      <c r="R34" s="10" t="inlineStr">
        <is>
          <t>G</t>
        </is>
      </c>
      <c r="S34" s="2">
        <f>S24</f>
        <v/>
      </c>
      <c r="T34" s="2">
        <f>T24</f>
        <v/>
      </c>
      <c r="U34" s="2">
        <f>U24</f>
        <v/>
      </c>
      <c r="V34" s="2">
        <f>V24</f>
        <v/>
      </c>
      <c r="W34" s="2">
        <f>W24</f>
        <v/>
      </c>
      <c r="X34" s="2">
        <f>X24</f>
        <v/>
      </c>
      <c r="Y34" s="1">
        <f>SUM(S34:W34)</f>
        <v/>
      </c>
    </row>
    <row r="36" ht="57" customHeight="1" s="60">
      <c r="B36" s="47" t="inlineStr">
        <is>
          <t>Supplier/User</t>
        </is>
      </c>
      <c r="C36" s="46" t="n">
        <v>1</v>
      </c>
      <c r="D36" s="46" t="n">
        <v>2</v>
      </c>
      <c r="E36" s="46" t="n">
        <v>3</v>
      </c>
      <c r="F36" s="46" t="n">
        <v>4</v>
      </c>
      <c r="G36" s="46" t="n">
        <v>5</v>
      </c>
      <c r="H36" s="46" t="n">
        <v>6</v>
      </c>
      <c r="I36" s="46" t="n">
        <v>7</v>
      </c>
      <c r="J36" s="46" t="n">
        <v>8</v>
      </c>
      <c r="K36" s="46" t="n">
        <v>9</v>
      </c>
      <c r="L36" s="46" t="n">
        <v>10</v>
      </c>
      <c r="R36" s="45" t="inlineStr">
        <is>
          <t>User Utilities</t>
        </is>
      </c>
    </row>
    <row r="37">
      <c r="B37" s="10" t="inlineStr">
        <is>
          <t>A</t>
        </is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/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/>
      </c>
      <c r="E37">
        <f>_xlfn.IFNA(
SUMPRODUCT(
_xlfn.XLOOKUP(TRIM($B37), $R$4:$R$10, $S$4:$W$10),
_xlfn.XLOOKUP(--TRIM(E$36), $B$25:$B$34, $C$25:$G$34)
)
- _xlfn.XLOOKUP(TRIM($B37), $R$4:$R$10, $X$4:$X$10)
* _xlfn.XLOOKUP(--TRIM(E$36), $B$25:$B$34, $H$25:$H$34), ""
)</f>
        <v/>
      </c>
      <c r="F37">
        <f>_xlfn.IFNA(
SUMPRODUCT(
_xlfn.XLOOKUP(TRIM($B37), $R$4:$R$10, $S$4:$W$10),
_xlfn.XLOOKUP(--TRIM(F$36), $B$25:$B$34, $C$25:$G$34)
)
- _xlfn.XLOOKUP(TRIM($B37), $R$4:$R$10, $X$4:$X$10)
* _xlfn.XLOOKUP(--TRIM(F$36), $B$25:$B$34, $H$25:$H$34), ""
)</f>
        <v/>
      </c>
      <c r="G37">
        <f>_xlfn.IFNA(
SUMPRODUCT(
_xlfn.XLOOKUP(TRIM($B37), $R$4:$R$10, $S$4:$W$10),
_xlfn.XLOOKUP(--TRIM(G$36), $B$25:$B$34, $C$25:$G$34)
)
- _xlfn.XLOOKUP(TRIM($B37), $R$4:$R$10, $X$4:$X$10)
* _xlfn.XLOOKUP(--TRIM(G$36), $B$25:$B$34, $H$25:$H$34), ""
)</f>
        <v/>
      </c>
      <c r="H37">
        <f>_xlfn.IFNA(
SUMPRODUCT(
_xlfn.XLOOKUP(TRIM($B37), $R$4:$R$10, $S$4:$W$10),
_xlfn.XLOOKUP(--TRIM(H$36), $B$25:$B$34, $C$25:$G$34)
)
- _xlfn.XLOOKUP(TRIM($B37), $R$4:$R$10, $X$4:$X$10)
* _xlfn.XLOOKUP(--TRIM(H$36), $B$25:$B$34, $H$25:$H$34), ""
)</f>
        <v/>
      </c>
      <c r="I37">
        <f>_xlfn.IFNA(
SUMPRODUCT(
_xlfn.XLOOKUP(TRIM($B37), $R$4:$R$10, $S$4:$W$10),
_xlfn.XLOOKUP(--TRIM(I$36), $B$25:$B$34, $C$25:$G$34)
)
- _xlfn.XLOOKUP(TRIM($B37), $R$4:$R$10, $X$4:$X$10)
* _xlfn.XLOOKUP(--TRIM(I$36), $B$25:$B$34, $H$25:$H$34), ""
)</f>
        <v/>
      </c>
      <c r="J37">
        <f>_xlfn.IFNA(
SUMPRODUCT(
_xlfn.XLOOKUP(TRIM($B37), $R$4:$R$10, $S$4:$W$10),
_xlfn.XLOOKUP(--TRIM(J$36), $B$25:$B$34, $C$25:$G$34)
)
- _xlfn.XLOOKUP(TRIM($B37), $R$4:$R$10, $X$4:$X$10)
* _xlfn.XLOOKUP(--TRIM(J$36), $B$25:$B$34, $H$25:$H$34), ""
)</f>
        <v/>
      </c>
      <c r="K37">
        <f>_xlfn.IFNA(
SUMPRODUCT(
_xlfn.XLOOKUP(TRIM($B37), $R$4:$R$10, $S$4:$W$10),
_xlfn.XLOOKUP(--TRIM(K$36), $B$25:$B$34, $C$25:$G$34)
)
- _xlfn.XLOOKUP(TRIM($B37), $R$4:$R$10, $X$4:$X$10)
* _xlfn.XLOOKUP(--TRIM(K$36), $B$25:$B$34, $H$25:$H$34), ""
)</f>
        <v/>
      </c>
      <c r="L37">
        <f>_xlfn.IFNA(
SUMPRODUCT(
_xlfn.XLOOKUP(TRIM($B37), $R$4:$R$10, $S$4:$W$10),
_xlfn.XLOOKUP(--TRIM(L$36), $B$25:$B$34, $C$25:$G$34)
)
- _xlfn.XLOOKUP(TRIM($B37), $R$4:$R$10, $X$4:$X$10)
* _xlfn.XLOOKUP(--TRIM(L$36), $B$25:$B$34, $H$25:$H$34), ""
)</f>
        <v/>
      </c>
    </row>
    <row r="38">
      <c r="B38" s="10" t="inlineStr">
        <is>
          <t>B</t>
        </is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/>
      </c>
      <c r="D38">
        <f>_xlfn.IFNA(
SUMPRODUCT(
_xlfn.XLOOKUP(TRIM($B38), $R$4:$R$10, $S$4:$W$10),
_xlfn.XLOOKUP(--TRIM(D$36), $B$25:$B$34, $C$25:$G$34)
)
- _xlfn.XLOOKUP(TRIM($B38), $R$4:$R$10, $X$4:$X$10)
* _xlfn.XLOOKUP(--TRIM(D$36), $B$25:$B$34, $H$25:$H$34), ""
)</f>
        <v/>
      </c>
      <c r="E38">
        <f>_xlfn.IFNA(
SUMPRODUCT(
_xlfn.XLOOKUP(TRIM($B38), $R$4:$R$10, $S$4:$W$10),
_xlfn.XLOOKUP(--TRIM(E$36), $B$25:$B$34, $C$25:$G$34)
)
- _xlfn.XLOOKUP(TRIM($B38), $R$4:$R$10, $X$4:$X$10)
* _xlfn.XLOOKUP(--TRIM(E$36), $B$25:$B$34, $H$25:$H$34), ""
)</f>
        <v/>
      </c>
      <c r="F38">
        <f>_xlfn.IFNA(
SUMPRODUCT(
_xlfn.XLOOKUP(TRIM($B38), $R$4:$R$10, $S$4:$W$10),
_xlfn.XLOOKUP(--TRIM(F$36), $B$25:$B$34, $C$25:$G$34)
)
- _xlfn.XLOOKUP(TRIM($B38), $R$4:$R$10, $X$4:$X$10)
* _xlfn.XLOOKUP(--TRIM(F$36), $B$25:$B$34, $H$25:$H$34), ""
)</f>
        <v/>
      </c>
      <c r="G38">
        <f>_xlfn.IFNA(
SUMPRODUCT(
_xlfn.XLOOKUP(TRIM($B38), $R$4:$R$10, $S$4:$W$10),
_xlfn.XLOOKUP(--TRIM(G$36), $B$25:$B$34, $C$25:$G$34)
)
- _xlfn.XLOOKUP(TRIM($B38), $R$4:$R$10, $X$4:$X$10)
* _xlfn.XLOOKUP(--TRIM(G$36), $B$25:$B$34, $H$25:$H$34), ""
)</f>
        <v/>
      </c>
      <c r="H38">
        <f>_xlfn.IFNA(
SUMPRODUCT(
_xlfn.XLOOKUP(TRIM($B38), $R$4:$R$10, $S$4:$W$10),
_xlfn.XLOOKUP(--TRIM(H$36), $B$25:$B$34, $C$25:$G$34)
)
- _xlfn.XLOOKUP(TRIM($B38), $R$4:$R$10, $X$4:$X$10)
* _xlfn.XLOOKUP(--TRIM(H$36), $B$25:$B$34, $H$25:$H$34), ""
)</f>
        <v/>
      </c>
      <c r="I38">
        <f>_xlfn.IFNA(
SUMPRODUCT(
_xlfn.XLOOKUP(TRIM($B38), $R$4:$R$10, $S$4:$W$10),
_xlfn.XLOOKUP(--TRIM(I$36), $B$25:$B$34, $C$25:$G$34)
)
- _xlfn.XLOOKUP(TRIM($B38), $R$4:$R$10, $X$4:$X$10)
* _xlfn.XLOOKUP(--TRIM(I$36), $B$25:$B$34, $H$25:$H$34), ""
)</f>
        <v/>
      </c>
      <c r="J38">
        <f>_xlfn.IFNA(
SUMPRODUCT(
_xlfn.XLOOKUP(TRIM($B38), $R$4:$R$10, $S$4:$W$10),
_xlfn.XLOOKUP(--TRIM(J$36), $B$25:$B$34, $C$25:$G$34)
)
- _xlfn.XLOOKUP(TRIM($B38), $R$4:$R$10, $X$4:$X$10)
* _xlfn.XLOOKUP(--TRIM(J$36), $B$25:$B$34, $H$25:$H$34), ""
)</f>
        <v/>
      </c>
      <c r="K38">
        <f>_xlfn.IFNA(
SUMPRODUCT(
_xlfn.XLOOKUP(TRIM($B38), $R$4:$R$10, $S$4:$W$10),
_xlfn.XLOOKUP(--TRIM(K$36), $B$25:$B$34, $C$25:$G$34)
)
- _xlfn.XLOOKUP(TRIM($B38), $R$4:$R$10, $X$4:$X$10)
* _xlfn.XLOOKUP(--TRIM(K$36), $B$25:$B$34, $H$25:$H$34), ""
)</f>
        <v/>
      </c>
      <c r="L38">
        <f>_xlfn.IFNA(
SUMPRODUCT(
_xlfn.XLOOKUP(TRIM($B38), $R$4:$R$10, $S$4:$W$10),
_xlfn.XLOOKUP(--TRIM(L$36), $B$25:$B$34, $C$25:$G$34)
)
- _xlfn.XLOOKUP(TRIM($B38), $R$4:$R$10, $X$4:$X$10)
* _xlfn.XLOOKUP(--TRIM(L$36), $B$25:$B$34, $H$25:$H$34), ""
)</f>
        <v/>
      </c>
    </row>
    <row r="39">
      <c r="B39" s="10" t="inlineStr">
        <is>
          <t>C</t>
        </is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/>
      </c>
      <c r="D39">
        <f>_xlfn.IFNA(
SUMPRODUCT(
_xlfn.XLOOKUP(TRIM($B39), $R$4:$R$10, $S$4:$W$10),
_xlfn.XLOOKUP(--TRIM(D$36), $B$25:$B$34, $C$25:$G$34)
)
- _xlfn.XLOOKUP(TRIM($B39), $R$4:$R$10, $X$4:$X$10)
* _xlfn.XLOOKUP(--TRIM(D$36), $B$25:$B$34, $H$25:$H$34), ""
)</f>
        <v/>
      </c>
      <c r="E39">
        <f>_xlfn.IFNA(
SUMPRODUCT(
_xlfn.XLOOKUP(TRIM($B39), $R$4:$R$10, $S$4:$W$10),
_xlfn.XLOOKUP(--TRIM(E$36), $B$25:$B$34, $C$25:$G$34)
)
- _xlfn.XLOOKUP(TRIM($B39), $R$4:$R$10, $X$4:$X$10)
* _xlfn.XLOOKUP(--TRIM(E$36), $B$25:$B$34, $H$25:$H$34), ""
)</f>
        <v/>
      </c>
      <c r="F39">
        <f>_xlfn.IFNA(
SUMPRODUCT(
_xlfn.XLOOKUP(TRIM($B39), $R$4:$R$10, $S$4:$W$10),
_xlfn.XLOOKUP(--TRIM(F$36), $B$25:$B$34, $C$25:$G$34)
)
- _xlfn.XLOOKUP(TRIM($B39), $R$4:$R$10, $X$4:$X$10)
* _xlfn.XLOOKUP(--TRIM(F$36), $B$25:$B$34, $H$25:$H$34), ""
)</f>
        <v/>
      </c>
      <c r="G39">
        <f>_xlfn.IFNA(
SUMPRODUCT(
_xlfn.XLOOKUP(TRIM($B39), $R$4:$R$10, $S$4:$W$10),
_xlfn.XLOOKUP(--TRIM(G$36), $B$25:$B$34, $C$25:$G$34)
)
- _xlfn.XLOOKUP(TRIM($B39), $R$4:$R$10, $X$4:$X$10)
* _xlfn.XLOOKUP(--TRIM(G$36), $B$25:$B$34, $H$25:$H$34), ""
)</f>
        <v/>
      </c>
      <c r="H39">
        <f>_xlfn.IFNA(
SUMPRODUCT(
_xlfn.XLOOKUP(TRIM($B39), $R$4:$R$10, $S$4:$W$10),
_xlfn.XLOOKUP(--TRIM(H$36), $B$25:$B$34, $C$25:$G$34)
)
- _xlfn.XLOOKUP(TRIM($B39), $R$4:$R$10, $X$4:$X$10)
* _xlfn.XLOOKUP(--TRIM(H$36), $B$25:$B$34, $H$25:$H$34), ""
)</f>
        <v/>
      </c>
      <c r="I39">
        <f>_xlfn.IFNA(
SUMPRODUCT(
_xlfn.XLOOKUP(TRIM($B39), $R$4:$R$10, $S$4:$W$10),
_xlfn.XLOOKUP(--TRIM(I$36), $B$25:$B$34, $C$25:$G$34)
)
- _xlfn.XLOOKUP(TRIM($B39), $R$4:$R$10, $X$4:$X$10)
* _xlfn.XLOOKUP(--TRIM(I$36), $B$25:$B$34, $H$25:$H$34), ""
)</f>
        <v/>
      </c>
      <c r="J39">
        <f>_xlfn.IFNA(
SUMPRODUCT(
_xlfn.XLOOKUP(TRIM($B39), $R$4:$R$10, $S$4:$W$10),
_xlfn.XLOOKUP(--TRIM(J$36), $B$25:$B$34, $C$25:$G$34)
)
- _xlfn.XLOOKUP(TRIM($B39), $R$4:$R$10, $X$4:$X$10)
* _xlfn.XLOOKUP(--TRIM(J$36), $B$25:$B$34, $H$25:$H$34), ""
)</f>
        <v/>
      </c>
      <c r="K39">
        <f>_xlfn.IFNA(
SUMPRODUCT(
_xlfn.XLOOKUP(TRIM($B39), $R$4:$R$10, $S$4:$W$10),
_xlfn.XLOOKUP(--TRIM(K$36), $B$25:$B$34, $C$25:$G$34)
)
- _xlfn.XLOOKUP(TRIM($B39), $R$4:$R$10, $X$4:$X$10)
* _xlfn.XLOOKUP(--TRIM(K$36), $B$25:$B$34, $H$25:$H$34), ""
)</f>
        <v/>
      </c>
      <c r="L39">
        <f>_xlfn.IFNA(
SUMPRODUCT(
_xlfn.XLOOKUP(TRIM($B39), $R$4:$R$10, $S$4:$W$10),
_xlfn.XLOOKUP(--TRIM(L$36), $B$25:$B$34, $C$25:$G$34)
)
- _xlfn.XLOOKUP(TRIM($B39), $R$4:$R$10, $X$4:$X$10)
* _xlfn.XLOOKUP(--TRIM(L$36), $B$25:$B$34, $H$25:$H$34), ""
)</f>
        <v/>
      </c>
    </row>
    <row r="40">
      <c r="B40" s="10" t="inlineStr">
        <is>
          <t>D</t>
        </is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/>
      </c>
      <c r="D40">
        <f>_xlfn.IFNA(
SUMPRODUCT(
_xlfn.XLOOKUP(TRIM($B40), $R$4:$R$10, $S$4:$W$10),
_xlfn.XLOOKUP(--TRIM(D$36), $B$25:$B$34, $C$25:$G$34)
)
- _xlfn.XLOOKUP(TRIM($B40), $R$4:$R$10, $X$4:$X$10)
* _xlfn.XLOOKUP(--TRIM(D$36), $B$25:$B$34, $H$25:$H$34), ""
)</f>
        <v/>
      </c>
      <c r="E40">
        <f>_xlfn.IFNA(
SUMPRODUCT(
_xlfn.XLOOKUP(TRIM($B40), $R$4:$R$10, $S$4:$W$10),
_xlfn.XLOOKUP(--TRIM(E$36), $B$25:$B$34, $C$25:$G$34)
)
- _xlfn.XLOOKUP(TRIM($B40), $R$4:$R$10, $X$4:$X$10)
* _xlfn.XLOOKUP(--TRIM(E$36), $B$25:$B$34, $H$25:$H$34), ""
)</f>
        <v/>
      </c>
      <c r="F40">
        <f>_xlfn.IFNA(
SUMPRODUCT(
_xlfn.XLOOKUP(TRIM($B40), $R$4:$R$10, $S$4:$W$10),
_xlfn.XLOOKUP(--TRIM(F$36), $B$25:$B$34, $C$25:$G$34)
)
- _xlfn.XLOOKUP(TRIM($B40), $R$4:$R$10, $X$4:$X$10)
* _xlfn.XLOOKUP(--TRIM(F$36), $B$25:$B$34, $H$25:$H$34), ""
)</f>
        <v/>
      </c>
      <c r="G40">
        <f>_xlfn.IFNA(
SUMPRODUCT(
_xlfn.XLOOKUP(TRIM($B40), $R$4:$R$10, $S$4:$W$10),
_xlfn.XLOOKUP(--TRIM(G$36), $B$25:$B$34, $C$25:$G$34)
)
- _xlfn.XLOOKUP(TRIM($B40), $R$4:$R$10, $X$4:$X$10)
* _xlfn.XLOOKUP(--TRIM(G$36), $B$25:$B$34, $H$25:$H$34), ""
)</f>
        <v/>
      </c>
      <c r="H40">
        <f>_xlfn.IFNA(
SUMPRODUCT(
_xlfn.XLOOKUP(TRIM($B40), $R$4:$R$10, $S$4:$W$10),
_xlfn.XLOOKUP(--TRIM(H$36), $B$25:$B$34, $C$25:$G$34)
)
- _xlfn.XLOOKUP(TRIM($B40), $R$4:$R$10, $X$4:$X$10)
* _xlfn.XLOOKUP(--TRIM(H$36), $B$25:$B$34, $H$25:$H$34), ""
)</f>
        <v/>
      </c>
      <c r="I40">
        <f>_xlfn.IFNA(
SUMPRODUCT(
_xlfn.XLOOKUP(TRIM($B40), $R$4:$R$10, $S$4:$W$10),
_xlfn.XLOOKUP(--TRIM(I$36), $B$25:$B$34, $C$25:$G$34)
)
- _xlfn.XLOOKUP(TRIM($B40), $R$4:$R$10, $X$4:$X$10)
* _xlfn.XLOOKUP(--TRIM(I$36), $B$25:$B$34, $H$25:$H$34), ""
)</f>
        <v/>
      </c>
      <c r="J40">
        <f>_xlfn.IFNA(
SUMPRODUCT(
_xlfn.XLOOKUP(TRIM($B40), $R$4:$R$10, $S$4:$W$10),
_xlfn.XLOOKUP(--TRIM(J$36), $B$25:$B$34, $C$25:$G$34)
)
- _xlfn.XLOOKUP(TRIM($B40), $R$4:$R$10, $X$4:$X$10)
* _xlfn.XLOOKUP(--TRIM(J$36), $B$25:$B$34, $H$25:$H$34), ""
)</f>
        <v/>
      </c>
      <c r="K40">
        <f>_xlfn.IFNA(
SUMPRODUCT(
_xlfn.XLOOKUP(TRIM($B40), $R$4:$R$10, $S$4:$W$10),
_xlfn.XLOOKUP(--TRIM(K$36), $B$25:$B$34, $C$25:$G$34)
)
- _xlfn.XLOOKUP(TRIM($B40), $R$4:$R$10, $X$4:$X$10)
* _xlfn.XLOOKUP(--TRIM(K$36), $B$25:$B$34, $H$25:$H$34), ""
)</f>
        <v/>
      </c>
      <c r="L40">
        <f>_xlfn.IFNA(
SUMPRODUCT(
_xlfn.XLOOKUP(TRIM($B40), $R$4:$R$10, $S$4:$W$10),
_xlfn.XLOOKUP(--TRIM(L$36), $B$25:$B$34, $C$25:$G$34)
)
- _xlfn.XLOOKUP(TRIM($B40), $R$4:$R$10, $X$4:$X$10)
* _xlfn.XLOOKUP(--TRIM(L$36), $B$25:$B$34, $H$25:$H$34), ""
)</f>
        <v/>
      </c>
    </row>
    <row r="41">
      <c r="B41" s="10" t="inlineStr">
        <is>
          <t>E</t>
        </is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/>
      </c>
      <c r="D41">
        <f>_xlfn.IFNA(
SUMPRODUCT(
_xlfn.XLOOKUP(TRIM($B41), $R$4:$R$10, $S$4:$W$10),
_xlfn.XLOOKUP(--TRIM(D$36), $B$25:$B$34, $C$25:$G$34)
)
- _xlfn.XLOOKUP(TRIM($B41), $R$4:$R$10, $X$4:$X$10)
* _xlfn.XLOOKUP(--TRIM(D$36), $B$25:$B$34, $H$25:$H$34), ""
)</f>
        <v/>
      </c>
      <c r="E41">
        <f>_xlfn.IFNA(
SUMPRODUCT(
_xlfn.XLOOKUP(TRIM($B41), $R$4:$R$10, $S$4:$W$10),
_xlfn.XLOOKUP(--TRIM(E$36), $B$25:$B$34, $C$25:$G$34)
)
- _xlfn.XLOOKUP(TRIM($B41), $R$4:$R$10, $X$4:$X$10)
* _xlfn.XLOOKUP(--TRIM(E$36), $B$25:$B$34, $H$25:$H$34), ""
)</f>
        <v/>
      </c>
      <c r="F41">
        <f>_xlfn.IFNA(
SUMPRODUCT(
_xlfn.XLOOKUP(TRIM($B41), $R$4:$R$10, $S$4:$W$10),
_xlfn.XLOOKUP(--TRIM(F$36), $B$25:$B$34, $C$25:$G$34)
)
- _xlfn.XLOOKUP(TRIM($B41), $R$4:$R$10, $X$4:$X$10)
* _xlfn.XLOOKUP(--TRIM(F$36), $B$25:$B$34, $H$25:$H$34), ""
)</f>
        <v/>
      </c>
      <c r="G41">
        <f>_xlfn.IFNA(
SUMPRODUCT(
_xlfn.XLOOKUP(TRIM($B41), $R$4:$R$10, $S$4:$W$10),
_xlfn.XLOOKUP(--TRIM(G$36), $B$25:$B$34, $C$25:$G$34)
)
- _xlfn.XLOOKUP(TRIM($B41), $R$4:$R$10, $X$4:$X$10)
* _xlfn.XLOOKUP(--TRIM(G$36), $B$25:$B$34, $H$25:$H$34), ""
)</f>
        <v/>
      </c>
      <c r="H41">
        <f>_xlfn.IFNA(
SUMPRODUCT(
_xlfn.XLOOKUP(TRIM($B41), $R$4:$R$10, $S$4:$W$10),
_xlfn.XLOOKUP(--TRIM(H$36), $B$25:$B$34, $C$25:$G$34)
)
- _xlfn.XLOOKUP(TRIM($B41), $R$4:$R$10, $X$4:$X$10)
* _xlfn.XLOOKUP(--TRIM(H$36), $B$25:$B$34, $H$25:$H$34), ""
)</f>
        <v/>
      </c>
      <c r="I41">
        <f>_xlfn.IFNA(
SUMPRODUCT(
_xlfn.XLOOKUP(TRIM($B41), $R$4:$R$10, $S$4:$W$10),
_xlfn.XLOOKUP(--TRIM(I$36), $B$25:$B$34, $C$25:$G$34)
)
- _xlfn.XLOOKUP(TRIM($B41), $R$4:$R$10, $X$4:$X$10)
* _xlfn.XLOOKUP(--TRIM(I$36), $B$25:$B$34, $H$25:$H$34), ""
)</f>
        <v/>
      </c>
      <c r="J41">
        <f>_xlfn.IFNA(
SUMPRODUCT(
_xlfn.XLOOKUP(TRIM($B41), $R$4:$R$10, $S$4:$W$10),
_xlfn.XLOOKUP(--TRIM(J$36), $B$25:$B$34, $C$25:$G$34)
)
- _xlfn.XLOOKUP(TRIM($B41), $R$4:$R$10, $X$4:$X$10)
* _xlfn.XLOOKUP(--TRIM(J$36), $B$25:$B$34, $H$25:$H$34), ""
)</f>
        <v/>
      </c>
      <c r="K41">
        <f>_xlfn.IFNA(
SUMPRODUCT(
_xlfn.XLOOKUP(TRIM($B41), $R$4:$R$10, $S$4:$W$10),
_xlfn.XLOOKUP(--TRIM(K$36), $B$25:$B$34, $C$25:$G$34)
)
- _xlfn.XLOOKUP(TRIM($B41), $R$4:$R$10, $X$4:$X$10)
* _xlfn.XLOOKUP(--TRIM(K$36), $B$25:$B$34, $H$25:$H$34), ""
)</f>
        <v/>
      </c>
      <c r="L41">
        <f>_xlfn.IFNA(
SUMPRODUCT(
_xlfn.XLOOKUP(TRIM($B41), $R$4:$R$10, $S$4:$W$10),
_xlfn.XLOOKUP(--TRIM(L$36), $B$25:$B$34, $C$25:$G$34)
)
- _xlfn.XLOOKUP(TRIM($B41), $R$4:$R$10, $X$4:$X$10)
* _xlfn.XLOOKUP(--TRIM(L$36), $B$25:$B$34, $H$25:$H$34), ""
)</f>
        <v/>
      </c>
    </row>
    <row r="42">
      <c r="B42" s="10" t="inlineStr">
        <is>
          <t>F</t>
        </is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/>
      </c>
      <c r="D42">
        <f>_xlfn.IFNA(
SUMPRODUCT(
_xlfn.XLOOKUP(TRIM($B42), $R$4:$R$10, $S$4:$W$10),
_xlfn.XLOOKUP(--TRIM(D$36), $B$25:$B$34, $C$25:$G$34)
)
- _xlfn.XLOOKUP(TRIM($B42), $R$4:$R$10, $X$4:$X$10)
* _xlfn.XLOOKUP(--TRIM(D$36), $B$25:$B$34, $H$25:$H$34), ""
)</f>
        <v/>
      </c>
      <c r="E42">
        <f>_xlfn.IFNA(
SUMPRODUCT(
_xlfn.XLOOKUP(TRIM($B42), $R$4:$R$10, $S$4:$W$10),
_xlfn.XLOOKUP(--TRIM(E$36), $B$25:$B$34, $C$25:$G$34)
)
- _xlfn.XLOOKUP(TRIM($B42), $R$4:$R$10, $X$4:$X$10)
* _xlfn.XLOOKUP(--TRIM(E$36), $B$25:$B$34, $H$25:$H$34), ""
)</f>
        <v/>
      </c>
      <c r="F42">
        <f>_xlfn.IFNA(
SUMPRODUCT(
_xlfn.XLOOKUP(TRIM($B42), $R$4:$R$10, $S$4:$W$10),
_xlfn.XLOOKUP(--TRIM(F$36), $B$25:$B$34, $C$25:$G$34)
)
- _xlfn.XLOOKUP(TRIM($B42), $R$4:$R$10, $X$4:$X$10)
* _xlfn.XLOOKUP(--TRIM(F$36), $B$25:$B$34, $H$25:$H$34), ""
)</f>
        <v/>
      </c>
      <c r="G42">
        <f>_xlfn.IFNA(
SUMPRODUCT(
_xlfn.XLOOKUP(TRIM($B42), $R$4:$R$10, $S$4:$W$10),
_xlfn.XLOOKUP(--TRIM(G$36), $B$25:$B$34, $C$25:$G$34)
)
- _xlfn.XLOOKUP(TRIM($B42), $R$4:$R$10, $X$4:$X$10)
* _xlfn.XLOOKUP(--TRIM(G$36), $B$25:$B$34, $H$25:$H$34), ""
)</f>
        <v/>
      </c>
      <c r="H42">
        <f>_xlfn.IFNA(
SUMPRODUCT(
_xlfn.XLOOKUP(TRIM($B42), $R$4:$R$10, $S$4:$W$10),
_xlfn.XLOOKUP(--TRIM(H$36), $B$25:$B$34, $C$25:$G$34)
)
- _xlfn.XLOOKUP(TRIM($B42), $R$4:$R$10, $X$4:$X$10)
* _xlfn.XLOOKUP(--TRIM(H$36), $B$25:$B$34, $H$25:$H$34), ""
)</f>
        <v/>
      </c>
      <c r="I42">
        <f>_xlfn.IFNA(
SUMPRODUCT(
_xlfn.XLOOKUP(TRIM($B42), $R$4:$R$10, $S$4:$W$10),
_xlfn.XLOOKUP(--TRIM(I$36), $B$25:$B$34, $C$25:$G$34)
)
- _xlfn.XLOOKUP(TRIM($B42), $R$4:$R$10, $X$4:$X$10)
* _xlfn.XLOOKUP(--TRIM(I$36), $B$25:$B$34, $H$25:$H$34), ""
)</f>
        <v/>
      </c>
      <c r="J42">
        <f>_xlfn.IFNA(
SUMPRODUCT(
_xlfn.XLOOKUP(TRIM($B42), $R$4:$R$10, $S$4:$W$10),
_xlfn.XLOOKUP(--TRIM(J$36), $B$25:$B$34, $C$25:$G$34)
)
- _xlfn.XLOOKUP(TRIM($B42), $R$4:$R$10, $X$4:$X$10)
* _xlfn.XLOOKUP(--TRIM(J$36), $B$25:$B$34, $H$25:$H$34), ""
)</f>
        <v/>
      </c>
      <c r="K42">
        <f>_xlfn.IFNA(
SUMPRODUCT(
_xlfn.XLOOKUP(TRIM($B42), $R$4:$R$10, $S$4:$W$10),
_xlfn.XLOOKUP(--TRIM(K$36), $B$25:$B$34, $C$25:$G$34)
)
- _xlfn.XLOOKUP(TRIM($B42), $R$4:$R$10, $X$4:$X$10)
* _xlfn.XLOOKUP(--TRIM(K$36), $B$25:$B$34, $H$25:$H$34), ""
)</f>
        <v/>
      </c>
      <c r="L42">
        <f>_xlfn.IFNA(
SUMPRODUCT(
_xlfn.XLOOKUP(TRIM($B42), $R$4:$R$10, $S$4:$W$10),
_xlfn.XLOOKUP(--TRIM(L$36), $B$25:$B$34, $C$25:$G$34)
)
- _xlfn.XLOOKUP(TRIM($B42), $R$4:$R$10, $X$4:$X$10)
* _xlfn.XLOOKUP(--TRIM(L$36), $B$25:$B$34, $H$25:$H$34), ""
)</f>
        <v/>
      </c>
    </row>
    <row r="43">
      <c r="B43" s="10" t="inlineStr">
        <is>
          <t>G</t>
        </is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/>
      </c>
      <c r="D43">
        <f>_xlfn.IFNA(
SUMPRODUCT(
_xlfn.XLOOKUP(TRIM($B43), $R$4:$R$10, $S$4:$W$10),
_xlfn.XLOOKUP(--TRIM(D$36), $B$25:$B$34, $C$25:$G$34)
)
- _xlfn.XLOOKUP(TRIM($B43), $R$4:$R$10, $X$4:$X$10)
* _xlfn.XLOOKUP(--TRIM(D$36), $B$25:$B$34, $H$25:$H$34), ""
)</f>
        <v/>
      </c>
      <c r="E43">
        <f>_xlfn.IFNA(
SUMPRODUCT(
_xlfn.XLOOKUP(TRIM($B43), $R$4:$R$10, $S$4:$W$10),
_xlfn.XLOOKUP(--TRIM(E$36), $B$25:$B$34, $C$25:$G$34)
)
- _xlfn.XLOOKUP(TRIM($B43), $R$4:$R$10, $X$4:$X$10)
* _xlfn.XLOOKUP(--TRIM(E$36), $B$25:$B$34, $H$25:$H$34), ""
)</f>
        <v/>
      </c>
      <c r="F43">
        <f>_xlfn.IFNA(
SUMPRODUCT(
_xlfn.XLOOKUP(TRIM($B43), $R$4:$R$10, $S$4:$W$10),
_xlfn.XLOOKUP(--TRIM(F$36), $B$25:$B$34, $C$25:$G$34)
)
- _xlfn.XLOOKUP(TRIM($B43), $R$4:$R$10, $X$4:$X$10)
* _xlfn.XLOOKUP(--TRIM(F$36), $B$25:$B$34, $H$25:$H$34), ""
)</f>
        <v/>
      </c>
      <c r="G43">
        <f>_xlfn.IFNA(
SUMPRODUCT(
_xlfn.XLOOKUP(TRIM($B43), $R$4:$R$10, $S$4:$W$10),
_xlfn.XLOOKUP(--TRIM(G$36), $B$25:$B$34, $C$25:$G$34)
)
- _xlfn.XLOOKUP(TRIM($B43), $R$4:$R$10, $X$4:$X$10)
* _xlfn.XLOOKUP(--TRIM(G$36), $B$25:$B$34, $H$25:$H$34), ""
)</f>
        <v/>
      </c>
      <c r="H43">
        <f>_xlfn.IFNA(
SUMPRODUCT(
_xlfn.XLOOKUP(TRIM($B43), $R$4:$R$10, $S$4:$W$10),
_xlfn.XLOOKUP(--TRIM(H$36), $B$25:$B$34, $C$25:$G$34)
)
- _xlfn.XLOOKUP(TRIM($B43), $R$4:$R$10, $X$4:$X$10)
* _xlfn.XLOOKUP(--TRIM(H$36), $B$25:$B$34, $H$25:$H$34), ""
)</f>
        <v/>
      </c>
      <c r="I43">
        <f>_xlfn.IFNA(
SUMPRODUCT(
_xlfn.XLOOKUP(TRIM($B43), $R$4:$R$10, $S$4:$W$10),
_xlfn.XLOOKUP(--TRIM(I$36), $B$25:$B$34, $C$25:$G$34)
)
- _xlfn.XLOOKUP(TRIM($B43), $R$4:$R$10, $X$4:$X$10)
* _xlfn.XLOOKUP(--TRIM(I$36), $B$25:$B$34, $H$25:$H$34), ""
)</f>
        <v/>
      </c>
      <c r="J43">
        <f>_xlfn.IFNA(
SUMPRODUCT(
_xlfn.XLOOKUP(TRIM($B43), $R$4:$R$10, $S$4:$W$10),
_xlfn.XLOOKUP(--TRIM(J$36), $B$25:$B$34, $C$25:$G$34)
)
- _xlfn.XLOOKUP(TRIM($B43), $R$4:$R$10, $X$4:$X$10)
* _xlfn.XLOOKUP(--TRIM(J$36), $B$25:$B$34, $H$25:$H$34), ""
)</f>
        <v/>
      </c>
      <c r="K43">
        <f>_xlfn.IFNA(
SUMPRODUCT(
_xlfn.XLOOKUP(TRIM($B43), $R$4:$R$10, $S$4:$W$10),
_xlfn.XLOOKUP(--TRIM(K$36), $B$25:$B$34, $C$25:$G$34)
)
- _xlfn.XLOOKUP(TRIM($B43), $R$4:$R$10, $X$4:$X$10)
* _xlfn.XLOOKUP(--TRIM(K$36), $B$25:$B$34, $H$25:$H$34), ""
)</f>
        <v/>
      </c>
      <c r="L43">
        <f>_xlfn.IFNA(
SUMPRODUCT(
_xlfn.XLOOKUP(TRIM($B43), $R$4:$R$10, $S$4:$W$10),
_xlfn.XLOOKUP(--TRIM(L$36), $B$25:$B$34, $C$25:$G$34)
)
- _xlfn.XLOOKUP(TRIM($B43), $R$4:$R$10, $X$4:$X$10)
* _xlfn.XLOOKUP(--TRIM(L$36), $B$25:$B$34, $H$25:$H$34), ""
)</f>
        <v/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3"/>
  <sheetViews>
    <sheetView showGridLines="0" workbookViewId="0">
      <selection activeCell="A1" sqref="A1"/>
    </sheetView>
  </sheetViews>
  <sheetFormatPr baseColWidth="8" defaultColWidth="8.6640625" defaultRowHeight="14.4"/>
  <cols>
    <col width="8.6640625" customWidth="1" style="60" min="1" max="1"/>
    <col width="19" customWidth="1" style="3" min="2" max="2"/>
    <col width="13.6640625" customWidth="1" style="60" min="3" max="7"/>
    <col width="10.77734375" customWidth="1" style="60" min="8" max="8"/>
    <col width="18.44140625" customWidth="1" style="60" min="9" max="9"/>
    <col width="13.6640625" customWidth="1" style="60" min="10" max="10"/>
    <col width="16" customWidth="1" style="60" min="11" max="11"/>
    <col width="13.6640625" customWidth="1" style="60" min="12" max="14"/>
    <col width="12.109375" customWidth="1" style="60" min="15" max="15"/>
    <col width="13.109375" customWidth="1" style="60" min="16" max="16"/>
  </cols>
  <sheetData>
    <row r="1">
      <c r="B1" s="35" t="inlineStr">
        <is>
          <t>Q1. Equal Weights</t>
        </is>
      </c>
      <c r="C1" s="34" t="n">
        <v>1</v>
      </c>
      <c r="D1" s="34" t="n">
        <v>1</v>
      </c>
      <c r="E1" s="34" t="n">
        <v>1</v>
      </c>
      <c r="F1" s="34" t="n">
        <v>1</v>
      </c>
      <c r="G1" s="34" t="n">
        <v>1</v>
      </c>
    </row>
    <row r="2">
      <c r="B2" s="35" t="inlineStr">
        <is>
          <t>Q2. Different Weights</t>
        </is>
      </c>
      <c r="C2" s="34" t="n">
        <v>1</v>
      </c>
      <c r="D2" s="34" t="n">
        <v>1</v>
      </c>
      <c r="E2" s="34" t="n">
        <v>1</v>
      </c>
      <c r="F2" s="34" t="n">
        <v>2</v>
      </c>
      <c r="G2" s="34" t="n">
        <v>2</v>
      </c>
    </row>
    <row r="3" ht="41.4" customHeight="1" s="60">
      <c r="B3" s="4" t="inlineStr">
        <is>
          <t>Supplier</t>
        </is>
      </c>
      <c r="C3" s="57" t="inlineStr">
        <is>
          <t>Environmental Risk</t>
        </is>
      </c>
      <c r="D3" s="57" t="inlineStr">
        <is>
          <t>Social Risk</t>
        </is>
      </c>
      <c r="E3" s="57" t="inlineStr">
        <is>
          <t>Cost Score</t>
        </is>
      </c>
      <c r="F3" s="57" t="inlineStr">
        <is>
          <t>Strategic Importance</t>
        </is>
      </c>
      <c r="G3" s="57" t="inlineStr">
        <is>
          <t>Improvement Potential</t>
        </is>
      </c>
      <c r="H3" s="16" t="inlineStr">
        <is>
          <t>Child Labor</t>
        </is>
      </c>
      <c r="I3" s="16" t="inlineStr">
        <is>
          <t>Banned Chemicals</t>
        </is>
      </c>
      <c r="J3" s="17" t="inlineStr">
        <is>
          <t>Low Product Quality</t>
        </is>
      </c>
      <c r="K3" s="33" t="inlineStr">
        <is>
          <t>Total Score</t>
        </is>
      </c>
      <c r="L3" s="14" t="inlineStr">
        <is>
          <t>Q1. Min Cost&amp; Enve&amp;Social Risk</t>
        </is>
      </c>
      <c r="M3" s="18" t="inlineStr">
        <is>
          <t xml:space="preserve">Q2. Max Improvement </t>
        </is>
      </c>
      <c r="R3" s="4" t="inlineStr">
        <is>
          <t>Supplier</t>
        </is>
      </c>
      <c r="S3" s="57" t="inlineStr">
        <is>
          <t>Environmental Risk</t>
        </is>
      </c>
      <c r="T3" s="57" t="inlineStr">
        <is>
          <t>Social Risk</t>
        </is>
      </c>
      <c r="U3" s="57" t="inlineStr">
        <is>
          <t>Cost Score</t>
        </is>
      </c>
      <c r="V3" s="57" t="inlineStr">
        <is>
          <t>Strategic Importance</t>
        </is>
      </c>
      <c r="W3" s="57" t="inlineStr">
        <is>
          <t>Improvement Potential</t>
        </is>
      </c>
      <c r="X3" s="17" t="inlineStr">
        <is>
          <t>Low Product Quality</t>
        </is>
      </c>
    </row>
    <row r="4">
      <c r="B4" s="10" t="inlineStr">
        <is>
          <t>A</t>
        </is>
      </c>
      <c r="C4" s="2" t="n">
        <v>2</v>
      </c>
      <c r="D4" s="2" t="n">
        <v>4</v>
      </c>
      <c r="E4" s="2" t="n">
        <v>1</v>
      </c>
      <c r="F4" s="2" t="n">
        <v>3</v>
      </c>
      <c r="G4" s="2" t="n">
        <v>4</v>
      </c>
      <c r="H4" s="6" t="n">
        <v>1</v>
      </c>
      <c r="I4" s="6" t="n">
        <v>0</v>
      </c>
      <c r="J4" s="6" t="n">
        <v>0</v>
      </c>
      <c r="K4" s="1">
        <f>SUM(C4:G4)</f>
        <v/>
      </c>
      <c r="L4" s="26">
        <f>SUMPRODUCT($C$1:$E$1,C4:E4)/SUM($C$1:$E$1)</f>
        <v/>
      </c>
      <c r="M4" s="26">
        <f>SUMPRODUCT(C4:G4,$C$2:$G$2)/SUM($C$2:$G$2)</f>
        <v/>
      </c>
      <c r="R4" s="10" t="inlineStr">
        <is>
          <t>A</t>
        </is>
      </c>
      <c r="S4" s="2" t="n">
        <v>2</v>
      </c>
      <c r="T4" s="2" t="n">
        <v>4</v>
      </c>
      <c r="U4" s="2" t="n">
        <v>1</v>
      </c>
      <c r="V4" s="2" t="n">
        <v>3</v>
      </c>
      <c r="W4" s="2" t="n">
        <v>4</v>
      </c>
      <c r="X4" s="6" t="n">
        <v>0</v>
      </c>
    </row>
    <row r="5">
      <c r="B5" s="10" t="inlineStr">
        <is>
          <t>B</t>
        </is>
      </c>
      <c r="C5" s="2" t="n">
        <v>3</v>
      </c>
      <c r="D5" s="2" t="n">
        <v>5</v>
      </c>
      <c r="E5" s="2" t="n">
        <v>2</v>
      </c>
      <c r="F5" s="2" t="n">
        <v>3</v>
      </c>
      <c r="G5" s="2" t="n">
        <v>3</v>
      </c>
      <c r="H5" s="6" t="n">
        <v>0</v>
      </c>
      <c r="I5" s="6" t="n">
        <v>0</v>
      </c>
      <c r="J5" s="6" t="n">
        <v>1</v>
      </c>
      <c r="K5" s="1">
        <f>SUM(C5:G5)</f>
        <v/>
      </c>
      <c r="L5" s="26">
        <f>SUMPRODUCT($C$1:$E$1,C5:E5)/SUM($C$1:$E$1)</f>
        <v/>
      </c>
      <c r="M5" s="26">
        <f>SUMPRODUCT(C5:G5,$C$2:$G$2)/SUM($C$2:$G$2)</f>
        <v/>
      </c>
      <c r="R5" s="10" t="inlineStr">
        <is>
          <t>B</t>
        </is>
      </c>
      <c r="S5" s="2" t="n">
        <v>3</v>
      </c>
      <c r="T5" s="2" t="n">
        <v>5</v>
      </c>
      <c r="U5" s="2" t="n">
        <v>2</v>
      </c>
      <c r="V5" s="2" t="n">
        <v>3</v>
      </c>
      <c r="W5" s="2" t="n">
        <v>3</v>
      </c>
      <c r="X5" s="6" t="n">
        <v>1</v>
      </c>
    </row>
    <row r="6">
      <c r="B6" s="10" t="inlineStr">
        <is>
          <t>C</t>
        </is>
      </c>
      <c r="C6" s="2" t="n">
        <v>2</v>
      </c>
      <c r="D6" s="2" t="n">
        <v>1</v>
      </c>
      <c r="E6" s="2" t="n">
        <v>3</v>
      </c>
      <c r="F6" s="2" t="n">
        <v>2</v>
      </c>
      <c r="G6" s="2" t="n">
        <v>3</v>
      </c>
      <c r="H6" s="6" t="n">
        <v>0</v>
      </c>
      <c r="I6" s="6" t="n">
        <v>1</v>
      </c>
      <c r="J6" s="6" t="n">
        <v>0</v>
      </c>
      <c r="K6" s="1">
        <f>SUM(C6:G6)</f>
        <v/>
      </c>
      <c r="L6" s="26">
        <f>SUMPRODUCT($C$1:$E$1,C6:E6)/SUM($C$1:$E$1)</f>
        <v/>
      </c>
      <c r="M6" s="26">
        <f>SUMPRODUCT(C6:G6,$C$2:$G$2)/SUM($C$2:$G$2)</f>
        <v/>
      </c>
      <c r="R6" s="10" t="inlineStr">
        <is>
          <t>C</t>
        </is>
      </c>
      <c r="S6" s="2" t="n">
        <v>2</v>
      </c>
      <c r="T6" s="2" t="n">
        <v>1</v>
      </c>
      <c r="U6" s="2" t="n">
        <v>3</v>
      </c>
      <c r="V6" s="2" t="n">
        <v>2</v>
      </c>
      <c r="W6" s="2" t="n">
        <v>3</v>
      </c>
      <c r="X6" s="6" t="n">
        <v>0</v>
      </c>
    </row>
    <row r="7">
      <c r="B7" s="10" t="inlineStr">
        <is>
          <t>D</t>
        </is>
      </c>
      <c r="C7" s="2" t="n">
        <v>2</v>
      </c>
      <c r="D7" s="2" t="n">
        <v>2</v>
      </c>
      <c r="E7" s="2" t="n">
        <v>5</v>
      </c>
      <c r="F7" s="2" t="n">
        <v>2</v>
      </c>
      <c r="G7" s="2" t="n">
        <v>2</v>
      </c>
      <c r="H7" s="6" t="n">
        <v>0</v>
      </c>
      <c r="I7" s="6" t="n">
        <v>0</v>
      </c>
      <c r="J7" s="6" t="n">
        <v>0</v>
      </c>
      <c r="K7" s="1">
        <f>SUM(C7:G7)</f>
        <v/>
      </c>
      <c r="L7" s="26">
        <f>SUMPRODUCT($C$1:$E$1,C7:E7)/SUM($C$1:$E$1)</f>
        <v/>
      </c>
      <c r="M7" s="26">
        <f>SUMPRODUCT(C7:G7,$C$2:$G$2)/SUM($C$2:$G$2)</f>
        <v/>
      </c>
      <c r="R7" s="10" t="inlineStr">
        <is>
          <t>D</t>
        </is>
      </c>
      <c r="S7" s="2" t="n">
        <v>2</v>
      </c>
      <c r="T7" s="2" t="n">
        <v>2</v>
      </c>
      <c r="U7" s="2" t="n">
        <v>5</v>
      </c>
      <c r="V7" s="2" t="n">
        <v>2</v>
      </c>
      <c r="W7" s="2" t="n">
        <v>2</v>
      </c>
      <c r="X7" s="6" t="n">
        <v>0</v>
      </c>
    </row>
    <row r="8">
      <c r="B8" s="10" t="inlineStr">
        <is>
          <t>E</t>
        </is>
      </c>
      <c r="C8" s="2" t="n">
        <v>3</v>
      </c>
      <c r="D8" s="2" t="n">
        <v>4</v>
      </c>
      <c r="E8" s="2" t="n">
        <v>3</v>
      </c>
      <c r="F8" s="2" t="n">
        <v>2</v>
      </c>
      <c r="G8" s="2" t="n">
        <v>5</v>
      </c>
      <c r="H8" s="6" t="n">
        <v>0</v>
      </c>
      <c r="I8" s="6" t="n">
        <v>0</v>
      </c>
      <c r="J8" s="6" t="n">
        <v>1</v>
      </c>
      <c r="K8" s="1">
        <f>SUM(C8:G8)</f>
        <v/>
      </c>
      <c r="L8" s="26">
        <f>SUMPRODUCT($C$1:$E$1,C8:E8)/SUM($C$1:$E$1)</f>
        <v/>
      </c>
      <c r="M8" s="26">
        <f>SUMPRODUCT(C8:G8,$C$2:$G$2)/SUM($C$2:$G$2)</f>
        <v/>
      </c>
      <c r="R8" s="10" t="inlineStr">
        <is>
          <t>E</t>
        </is>
      </c>
      <c r="S8" s="2" t="n">
        <v>3</v>
      </c>
      <c r="T8" s="2" t="n">
        <v>4</v>
      </c>
      <c r="U8" s="2" t="n">
        <v>3</v>
      </c>
      <c r="V8" s="2" t="n">
        <v>2</v>
      </c>
      <c r="W8" s="2" t="n">
        <v>5</v>
      </c>
      <c r="X8" s="6" t="n">
        <v>1</v>
      </c>
    </row>
    <row r="9">
      <c r="B9" s="10" t="inlineStr">
        <is>
          <t>F</t>
        </is>
      </c>
      <c r="C9" s="2" t="n">
        <v>5</v>
      </c>
      <c r="D9" s="2" t="n">
        <v>4</v>
      </c>
      <c r="E9" s="2" t="n">
        <v>2</v>
      </c>
      <c r="F9" s="2" t="n">
        <v>4</v>
      </c>
      <c r="G9" s="2" t="n">
        <v>4</v>
      </c>
      <c r="H9" s="6" t="n">
        <v>1</v>
      </c>
      <c r="I9" s="6" t="n">
        <v>1</v>
      </c>
      <c r="J9" s="6" t="n">
        <v>0</v>
      </c>
      <c r="K9" s="1">
        <f>SUM(C9:G9)</f>
        <v/>
      </c>
      <c r="L9" s="26">
        <f>SUMPRODUCT($C$1:$E$1,C9:E9)/SUM($C$1:$E$1)</f>
        <v/>
      </c>
      <c r="M9" s="26">
        <f>SUMPRODUCT(C9:G9,$C$2:$G$2)/SUM($C$2:$G$2)</f>
        <v/>
      </c>
      <c r="R9" s="10" t="inlineStr">
        <is>
          <t>F</t>
        </is>
      </c>
      <c r="S9" s="2" t="n">
        <v>5</v>
      </c>
      <c r="T9" s="2" t="n">
        <v>4</v>
      </c>
      <c r="U9" s="2" t="n">
        <v>2</v>
      </c>
      <c r="V9" s="2" t="n">
        <v>4</v>
      </c>
      <c r="W9" s="2" t="n">
        <v>4</v>
      </c>
      <c r="X9" s="6" t="n">
        <v>0</v>
      </c>
    </row>
    <row r="10">
      <c r="B10" s="10" t="inlineStr">
        <is>
          <t>G</t>
        </is>
      </c>
      <c r="C10" s="2" t="n">
        <v>2</v>
      </c>
      <c r="D10" s="2" t="n">
        <v>1</v>
      </c>
      <c r="E10" s="2" t="n">
        <v>3</v>
      </c>
      <c r="F10" s="2" t="n">
        <v>3</v>
      </c>
      <c r="G10" s="2" t="n">
        <v>3</v>
      </c>
      <c r="H10" s="6" t="n">
        <v>0</v>
      </c>
      <c r="I10" s="6" t="n">
        <v>0</v>
      </c>
      <c r="J10" s="6" t="n">
        <v>0</v>
      </c>
      <c r="K10" s="1">
        <f>SUM(C10:G10)</f>
        <v/>
      </c>
      <c r="L10" s="26">
        <f>SUMPRODUCT($C$1:$E$1,C10:E10)/SUM($C$1:$E$1)</f>
        <v/>
      </c>
      <c r="M10" s="26">
        <f>SUMPRODUCT(C10:G10,$C$2:$G$2)/SUM($C$2:$G$2)</f>
        <v/>
      </c>
      <c r="R10" s="10" t="inlineStr">
        <is>
          <t>G</t>
        </is>
      </c>
      <c r="S10" s="2" t="n">
        <v>2</v>
      </c>
      <c r="T10" s="2" t="n">
        <v>1</v>
      </c>
      <c r="U10" s="2" t="n">
        <v>3</v>
      </c>
      <c r="V10" s="2" t="n">
        <v>3</v>
      </c>
      <c r="W10" s="2" t="n">
        <v>3</v>
      </c>
      <c r="X10" s="6" t="n">
        <v>0</v>
      </c>
    </row>
    <row r="12">
      <c r="B12" s="62" t="inlineStr">
        <is>
          <t>Rank</t>
        </is>
      </c>
      <c r="C12" s="65" t="inlineStr">
        <is>
          <t>Environmental Risk</t>
        </is>
      </c>
      <c r="D12" s="63" t="inlineStr">
        <is>
          <t>Social Risk</t>
        </is>
      </c>
      <c r="E12" s="63" t="inlineStr">
        <is>
          <t>Cost Score</t>
        </is>
      </c>
      <c r="F12" s="63" t="inlineStr">
        <is>
          <t>Strategic Importance</t>
        </is>
      </c>
      <c r="G12" s="70" t="inlineStr">
        <is>
          <t>Improvement Potential</t>
        </is>
      </c>
      <c r="J12" s="19" t="inlineStr">
        <is>
          <t>Q1</t>
        </is>
      </c>
      <c r="K12" s="21" t="inlineStr">
        <is>
          <t>Q2</t>
        </is>
      </c>
      <c r="L12" s="20" t="inlineStr">
        <is>
          <t>Q3</t>
        </is>
      </c>
    </row>
    <row r="13" ht="34.95" customHeight="1" s="60">
      <c r="B13" s="58" t="n"/>
      <c r="C13" s="66" t="n"/>
      <c r="D13" s="64" t="n"/>
      <c r="E13" s="64" t="n"/>
      <c r="F13" s="64" t="n"/>
      <c r="G13" s="71" t="n"/>
      <c r="J13" s="19" t="inlineStr">
        <is>
          <t>Min Cost + Enve&amp;Social Risk</t>
        </is>
      </c>
      <c r="K13" s="22" t="inlineStr">
        <is>
          <t>Min Cost + Max Improvement</t>
        </is>
      </c>
      <c r="L13" s="17" t="inlineStr">
        <is>
          <t>Min Cost/No Quality Issues</t>
        </is>
      </c>
      <c r="R13" s="44" t="inlineStr">
        <is>
          <t>Policy</t>
        </is>
      </c>
      <c r="S13" s="48" t="n">
        <v>1</v>
      </c>
      <c r="T13" s="48" t="n">
        <v>1</v>
      </c>
      <c r="U13" s="48" t="n">
        <v>1</v>
      </c>
      <c r="V13" s="48" t="n">
        <v>1</v>
      </c>
      <c r="W13" s="48" t="n">
        <v>1</v>
      </c>
      <c r="X13" s="49" t="n">
        <v>1</v>
      </c>
    </row>
    <row r="14">
      <c r="B14" s="62" t="inlineStr">
        <is>
          <t>Supplier 1</t>
        </is>
      </c>
      <c r="C14" s="2">
        <f t="array" ref="C14:C20">_xlfn.SORTBY($B$4:$B$10, C4:C10, 1)</f>
        <v/>
      </c>
      <c r="D14" s="2">
        <f t="array" ref="D14:D20">_xlfn.SORTBY(B4:B10,D4:D10)</f>
        <v/>
      </c>
      <c r="E14" s="2">
        <f t="array" ref="E14:E20">_xlfn.SORTBY(B4:B10,E4:E10)</f>
        <v/>
      </c>
      <c r="F14" s="2">
        <f t="array" ref="F14:F20">_xlfn.SORTBY(B4:B10,F4:F10)</f>
        <v/>
      </c>
      <c r="G14" s="2">
        <f t="array" ref="G14:G20">_xlfn.SORTBY(B4:B10,G4:G10)</f>
        <v/>
      </c>
      <c r="J14" s="11">
        <f t="array" ref="J14:J20">_xlfn.SORTBY(B4:B10,L4:L10)</f>
        <v/>
      </c>
      <c r="K14" s="38">
        <f t="array" ref="K14:K20">_xlfn.SORTBY(B4:B10,M4:M10)</f>
        <v/>
      </c>
      <c r="L14" s="37" t="inlineStr">
        <is>
          <t>A</t>
        </is>
      </c>
      <c r="Q14" s="8" t="n"/>
      <c r="R14" s="8" t="n"/>
    </row>
    <row r="15">
      <c r="B15" s="62" t="inlineStr">
        <is>
          <t>Supplier 2</t>
        </is>
      </c>
      <c r="C15" s="2" t="inlineStr">
        <is>
          <t>C</t>
        </is>
      </c>
      <c r="D15" s="2" t="inlineStr">
        <is>
          <t>G</t>
        </is>
      </c>
      <c r="E15" s="2" t="inlineStr">
        <is>
          <t>B</t>
        </is>
      </c>
      <c r="F15" s="2" t="inlineStr">
        <is>
          <t>D</t>
        </is>
      </c>
      <c r="G15" s="2" t="inlineStr">
        <is>
          <t>B</t>
        </is>
      </c>
      <c r="J15" s="36" t="inlineStr">
        <is>
          <t>G</t>
        </is>
      </c>
      <c r="K15" s="31" t="inlineStr">
        <is>
          <t>D</t>
        </is>
      </c>
      <c r="L15" s="32" t="inlineStr">
        <is>
          <t>B</t>
        </is>
      </c>
      <c r="M15" s="28" t="inlineStr">
        <is>
          <t>quality issues</t>
        </is>
      </c>
      <c r="Q15" s="8" t="n"/>
      <c r="R15" s="8" t="n"/>
    </row>
    <row r="16">
      <c r="B16" s="62" t="inlineStr">
        <is>
          <t>Supplier 3</t>
        </is>
      </c>
      <c r="C16" s="2" t="inlineStr">
        <is>
          <t>D</t>
        </is>
      </c>
      <c r="D16" s="2" t="inlineStr">
        <is>
          <t>D</t>
        </is>
      </c>
      <c r="E16" s="2" t="inlineStr">
        <is>
          <t>F</t>
        </is>
      </c>
      <c r="F16" s="2" t="inlineStr">
        <is>
          <t>E</t>
        </is>
      </c>
      <c r="G16" s="2" t="inlineStr">
        <is>
          <t>C</t>
        </is>
      </c>
      <c r="J16" s="24" t="inlineStr">
        <is>
          <t>A</t>
        </is>
      </c>
      <c r="K16" s="1" t="inlineStr">
        <is>
          <t>G</t>
        </is>
      </c>
      <c r="L16" s="37" t="inlineStr">
        <is>
          <t>F</t>
        </is>
      </c>
      <c r="Q16" s="8" t="n"/>
      <c r="R16" s="8" t="n"/>
    </row>
    <row r="17">
      <c r="A17" s="5" t="n"/>
      <c r="B17" s="62" t="inlineStr">
        <is>
          <t>Supplier 4</t>
        </is>
      </c>
      <c r="C17" s="2" t="inlineStr">
        <is>
          <t>G</t>
        </is>
      </c>
      <c r="D17" s="2" t="inlineStr">
        <is>
          <t>A</t>
        </is>
      </c>
      <c r="E17" s="2" t="inlineStr">
        <is>
          <t>C</t>
        </is>
      </c>
      <c r="F17" s="2" t="inlineStr">
        <is>
          <t>A</t>
        </is>
      </c>
      <c r="G17" s="2" t="inlineStr">
        <is>
          <t>G</t>
        </is>
      </c>
      <c r="J17" s="27" t="inlineStr">
        <is>
          <t>D</t>
        </is>
      </c>
      <c r="K17" s="25" t="inlineStr">
        <is>
          <t>A</t>
        </is>
      </c>
      <c r="L17" s="25" t="inlineStr">
        <is>
          <t>C</t>
        </is>
      </c>
      <c r="Q17" s="8" t="n"/>
      <c r="R17" s="8" t="n"/>
    </row>
    <row r="18">
      <c r="A18" s="5" t="n"/>
      <c r="B18" s="62" t="inlineStr">
        <is>
          <t>Supplier 5</t>
        </is>
      </c>
      <c r="C18" s="2" t="inlineStr">
        <is>
          <t>B</t>
        </is>
      </c>
      <c r="D18" s="2" t="inlineStr">
        <is>
          <t>E</t>
        </is>
      </c>
      <c r="E18" s="2" t="inlineStr">
        <is>
          <t>E</t>
        </is>
      </c>
      <c r="F18" s="2" t="inlineStr">
        <is>
          <t>B</t>
        </is>
      </c>
      <c r="G18" s="2" t="inlineStr">
        <is>
          <t>A</t>
        </is>
      </c>
      <c r="J18" s="30" t="inlineStr">
        <is>
          <t>B</t>
        </is>
      </c>
      <c r="K18" s="29" t="inlineStr">
        <is>
          <t>B</t>
        </is>
      </c>
      <c r="L18" s="32" t="inlineStr">
        <is>
          <t>E</t>
        </is>
      </c>
      <c r="M18" s="28" t="inlineStr">
        <is>
          <t>quality issues</t>
        </is>
      </c>
    </row>
    <row r="19">
      <c r="A19" s="5" t="n"/>
      <c r="B19" s="62" t="inlineStr">
        <is>
          <t>Supplier 6</t>
        </is>
      </c>
      <c r="C19" s="2" t="inlineStr">
        <is>
          <t>E</t>
        </is>
      </c>
      <c r="D19" s="2" t="inlineStr">
        <is>
          <t>F</t>
        </is>
      </c>
      <c r="E19" s="2" t="inlineStr">
        <is>
          <t>G</t>
        </is>
      </c>
      <c r="F19" s="2" t="inlineStr">
        <is>
          <t>G</t>
        </is>
      </c>
      <c r="G19" s="2" t="inlineStr">
        <is>
          <t>F</t>
        </is>
      </c>
      <c r="J19" s="30" t="inlineStr">
        <is>
          <t>E</t>
        </is>
      </c>
      <c r="K19" s="29" t="inlineStr">
        <is>
          <t>E</t>
        </is>
      </c>
      <c r="L19" s="23" t="inlineStr">
        <is>
          <t>G</t>
        </is>
      </c>
    </row>
    <row r="20">
      <c r="B20" s="62" t="inlineStr">
        <is>
          <t>Supplier 7</t>
        </is>
      </c>
      <c r="C20" s="2" t="inlineStr">
        <is>
          <t>F</t>
        </is>
      </c>
      <c r="D20" s="2" t="inlineStr">
        <is>
          <t>B</t>
        </is>
      </c>
      <c r="E20" s="2" t="inlineStr">
        <is>
          <t>D</t>
        </is>
      </c>
      <c r="F20" s="2" t="inlineStr">
        <is>
          <t>F</t>
        </is>
      </c>
      <c r="G20" s="2" t="inlineStr">
        <is>
          <t>E</t>
        </is>
      </c>
      <c r="J20" s="24" t="inlineStr">
        <is>
          <t>F</t>
        </is>
      </c>
      <c r="K20" s="25" t="inlineStr">
        <is>
          <t>F</t>
        </is>
      </c>
      <c r="L20" s="23" t="inlineStr">
        <is>
          <t>D</t>
        </is>
      </c>
    </row>
    <row r="21">
      <c r="I21" s="39" t="inlineStr">
        <is>
          <t>Selected Ones</t>
        </is>
      </c>
      <c r="J21" s="40" t="inlineStr">
        <is>
          <t>C &amp; G</t>
        </is>
      </c>
      <c r="K21" s="40" t="inlineStr">
        <is>
          <t>C &amp; D</t>
        </is>
      </c>
      <c r="L21" s="40" t="inlineStr">
        <is>
          <t>A &amp; F</t>
        </is>
      </c>
    </row>
    <row r="24" ht="41.4" customHeight="1" s="60">
      <c r="B24" s="42" t="inlineStr">
        <is>
          <t>Users</t>
        </is>
      </c>
      <c r="C24" s="57" t="inlineStr">
        <is>
          <t>Environmental Risk</t>
        </is>
      </c>
      <c r="D24" s="57" t="inlineStr">
        <is>
          <t>Social Risk</t>
        </is>
      </c>
      <c r="E24" s="57" t="inlineStr">
        <is>
          <t>Cost Score</t>
        </is>
      </c>
      <c r="F24" s="57" t="inlineStr">
        <is>
          <t>Strategic Importance</t>
        </is>
      </c>
      <c r="G24" s="57" t="inlineStr">
        <is>
          <t>Improvement Potential</t>
        </is>
      </c>
      <c r="H24" s="17" t="inlineStr">
        <is>
          <t>Low Product Quality</t>
        </is>
      </c>
      <c r="I24" s="57" t="inlineStr">
        <is>
          <t>Utility Function</t>
        </is>
      </c>
    </row>
    <row r="25">
      <c r="B25" s="43" t="n">
        <v>1</v>
      </c>
      <c r="C25" s="2" t="n">
        <v>0.3</v>
      </c>
      <c r="D25" s="2" t="n">
        <v>0.2</v>
      </c>
      <c r="E25" s="2" t="n">
        <v>0.4</v>
      </c>
      <c r="F25" s="2" t="n">
        <v>0.1</v>
      </c>
      <c r="G25" s="2" t="n">
        <v>0.1</v>
      </c>
      <c r="H25" s="6" t="n">
        <v>0.2</v>
      </c>
      <c r="I25" s="1">
        <f>C25&amp;"x1+ "&amp;D25&amp;"x2+ "&amp;E25&amp;"x3+ "&amp;F25&amp;"x4+ "&amp;G25&amp;"x5+ -"&amp;H25&amp;"x6"</f>
        <v/>
      </c>
    </row>
    <row r="26">
      <c r="B26" s="43" t="n">
        <v>2</v>
      </c>
      <c r="C26" s="2" t="n">
        <v>0.25</v>
      </c>
      <c r="D26" s="2" t="n">
        <v>0.15</v>
      </c>
      <c r="E26" s="2" t="n">
        <v>0.1</v>
      </c>
      <c r="F26" s="2" t="n">
        <v>0.1</v>
      </c>
      <c r="G26" s="2" t="n">
        <v>0.1</v>
      </c>
      <c r="H26" s="6" t="n">
        <v>0.3</v>
      </c>
      <c r="I26" s="1">
        <f>C26&amp;"x1+ "&amp;D26&amp;"x2+ "&amp;E26&amp;"x3+ "&amp;F26&amp;"x4+ "&amp;G26&amp;"x5+ -"&amp;H26&amp;"x6"</f>
        <v/>
      </c>
    </row>
    <row r="27">
      <c r="B27" s="43" t="n">
        <v>3</v>
      </c>
      <c r="C27" s="2" t="n">
        <v>0.15</v>
      </c>
      <c r="D27" s="2" t="n">
        <v>0.3</v>
      </c>
      <c r="E27" s="2" t="n">
        <v>0.1</v>
      </c>
      <c r="F27" s="2" t="n">
        <v>0.1</v>
      </c>
      <c r="G27" s="2" t="n">
        <v>0.15</v>
      </c>
      <c r="H27" s="6" t="n">
        <v>0.2</v>
      </c>
      <c r="I27" s="1">
        <f>C27&amp;"x1+ "&amp;D27&amp;"x2+ "&amp;E27&amp;"x3+ "&amp;F27&amp;"x4+ "&amp;G27&amp;"x5+ -"&amp;H27&amp;"x6"</f>
        <v/>
      </c>
    </row>
    <row r="28">
      <c r="B28" s="43" t="n">
        <v>4</v>
      </c>
      <c r="C28" s="2" t="n">
        <v>0.1</v>
      </c>
      <c r="D28" s="2" t="n">
        <v>0.1</v>
      </c>
      <c r="E28" s="2" t="n">
        <v>0.4</v>
      </c>
      <c r="F28" s="2" t="n">
        <v>0.15</v>
      </c>
      <c r="G28" s="2" t="n">
        <v>0.1</v>
      </c>
      <c r="H28" s="6" t="n">
        <v>0.15</v>
      </c>
      <c r="I28" s="1">
        <f>C28&amp;"x1+ "&amp;D28&amp;"x2+ "&amp;E28&amp;"x3+ "&amp;F28&amp;"x4+ "&amp;G28&amp;"x5+ -"&amp;H28&amp;"x6"</f>
        <v/>
      </c>
    </row>
    <row r="29">
      <c r="B29" s="43" t="n">
        <v>5</v>
      </c>
      <c r="C29" s="2" t="n">
        <v>0.05</v>
      </c>
      <c r="D29" s="2" t="n">
        <v>0.05</v>
      </c>
      <c r="E29" s="2" t="n">
        <v>0.5</v>
      </c>
      <c r="F29" s="2" t="n">
        <v>0.15</v>
      </c>
      <c r="G29" s="2" t="n">
        <v>0.1</v>
      </c>
      <c r="H29" s="6" t="n">
        <v>0.15</v>
      </c>
      <c r="I29" s="1">
        <f>C29&amp;"x1+ "&amp;D29&amp;"x2+ "&amp;E29&amp;"x3+ "&amp;F29&amp;"x4+ "&amp;G29&amp;"x5+ -"&amp;H29&amp;"x6"</f>
        <v/>
      </c>
    </row>
    <row r="30">
      <c r="B30" s="43" t="n">
        <v>6</v>
      </c>
      <c r="C30" s="2" t="n">
        <v>0.05</v>
      </c>
      <c r="D30" s="2" t="n">
        <v>0.1</v>
      </c>
      <c r="E30" s="2" t="n">
        <v>0.35</v>
      </c>
      <c r="F30" s="2" t="n">
        <v>0.15</v>
      </c>
      <c r="G30" s="2" t="n">
        <v>0.1</v>
      </c>
      <c r="H30" s="6" t="n">
        <v>0.25</v>
      </c>
      <c r="I30" s="1">
        <f>C30&amp;"x1+ "&amp;D30&amp;"x2+ "&amp;E30&amp;"x3+ "&amp;F30&amp;"x4+ "&amp;G30&amp;"x5+ -"&amp;H30&amp;"x6"</f>
        <v/>
      </c>
    </row>
    <row r="31">
      <c r="B31" s="43" t="n">
        <v>7</v>
      </c>
      <c r="C31" s="2" t="n">
        <v>0.1</v>
      </c>
      <c r="D31" s="2" t="n">
        <v>0.1</v>
      </c>
      <c r="E31" s="2" t="n">
        <v>0.15</v>
      </c>
      <c r="F31" s="2" t="n">
        <v>0.35</v>
      </c>
      <c r="G31" s="2" t="n">
        <v>0.2</v>
      </c>
      <c r="H31" s="6" t="n">
        <v>0.1</v>
      </c>
      <c r="I31" s="1">
        <f>C31&amp;"x1+ "&amp;D31&amp;"x2+ "&amp;E31&amp;"x3+ "&amp;F31&amp;"x4+ "&amp;G31&amp;"x5+ -"&amp;H31&amp;"x6"</f>
        <v/>
      </c>
    </row>
    <row r="32">
      <c r="B32" s="41" t="n">
        <v>8</v>
      </c>
      <c r="C32" s="2" t="n">
        <v>0.1</v>
      </c>
      <c r="D32" s="2" t="n">
        <v>0.1</v>
      </c>
      <c r="E32" s="2" t="n">
        <v>0.65</v>
      </c>
      <c r="F32" s="2" t="n">
        <v>0.25</v>
      </c>
      <c r="G32" s="2" t="n">
        <v>0.3</v>
      </c>
      <c r="H32" s="6" t="n">
        <v>0.1</v>
      </c>
      <c r="I32" s="1">
        <f>C32&amp;"x1+ "&amp;D32&amp;"x2+ "&amp;E32&amp;"x3+ "&amp;F32&amp;"x4+ "&amp;G32&amp;"x5+ -"&amp;H32&amp;"x6"</f>
        <v/>
      </c>
    </row>
    <row r="33">
      <c r="B33" s="41" t="n">
        <v>9</v>
      </c>
      <c r="C33" s="2" t="n">
        <v>0.2</v>
      </c>
      <c r="D33" s="2" t="n">
        <v>0.15</v>
      </c>
      <c r="E33" s="2" t="n">
        <v>0.2</v>
      </c>
      <c r="F33" s="2" t="n">
        <v>0.15</v>
      </c>
      <c r="G33" s="2" t="n">
        <v>0.1</v>
      </c>
      <c r="H33" s="6" t="n">
        <v>0.2</v>
      </c>
      <c r="I33" s="1">
        <f>C33&amp;"x1+ "&amp;D33&amp;"x2+ "&amp;E33&amp;"x3+ "&amp;F33&amp;"x4+ "&amp;G33&amp;"x5+ -"&amp;H33&amp;"x6"</f>
        <v/>
      </c>
    </row>
    <row r="34">
      <c r="B34" s="41" t="n">
        <v>10</v>
      </c>
      <c r="C34" s="2" t="n">
        <v>0.15</v>
      </c>
      <c r="D34" s="2" t="n">
        <v>0.15</v>
      </c>
      <c r="E34" s="2" t="n">
        <v>0.15</v>
      </c>
      <c r="F34" s="2" t="n">
        <v>0.15</v>
      </c>
      <c r="G34" s="2" t="n">
        <v>0.1</v>
      </c>
      <c r="H34" s="6" t="n">
        <v>0.3</v>
      </c>
      <c r="I34" s="1">
        <f>C34&amp;"x1+ "&amp;D34&amp;"x2+ "&amp;E34&amp;"x3+ "&amp;F34&amp;"x4+ "&amp;G34&amp;"x5+ -"&amp;H34&amp;"x6"</f>
        <v/>
      </c>
    </row>
    <row r="36" ht="57" customHeight="1" s="60">
      <c r="B36" s="47" t="inlineStr">
        <is>
          <t>Supplier/User</t>
        </is>
      </c>
      <c r="C36" s="46" t="n">
        <v>1</v>
      </c>
      <c r="D36" s="46" t="n">
        <v>2</v>
      </c>
      <c r="E36" s="46" t="n">
        <v>3</v>
      </c>
      <c r="F36" s="46" t="n">
        <v>4</v>
      </c>
      <c r="G36" s="46" t="n">
        <v>5</v>
      </c>
      <c r="H36" s="46" t="n">
        <v>6</v>
      </c>
      <c r="I36" s="46" t="n">
        <v>7</v>
      </c>
      <c r="J36" s="46" t="n">
        <v>8</v>
      </c>
      <c r="K36" s="46" t="n">
        <v>9</v>
      </c>
      <c r="L36" s="46" t="n">
        <v>10</v>
      </c>
    </row>
    <row r="37">
      <c r="B37" s="10" t="inlineStr">
        <is>
          <t>A</t>
        </is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/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/>
      </c>
      <c r="E37">
        <f>_xlfn.IFNA(
SUMPRODUCT(
_xlfn.XLOOKUP(TRIM($B37), $R$4:$R$10, $S$4:$W$10),
_xlfn.XLOOKUP(--TRIM(E$36), $B$25:$B$34, $C$25:$G$34)
)
- _xlfn.XLOOKUP(TRIM($B37), $R$4:$R$10, $X$4:$X$10)
* _xlfn.XLOOKUP(--TRIM(E$36), $B$25:$B$34, $H$25:$H$34), ""
)</f>
        <v/>
      </c>
      <c r="F37">
        <f>_xlfn.IFNA(
SUMPRODUCT(
_xlfn.XLOOKUP(TRIM($B37), $R$4:$R$10, $S$4:$W$10),
_xlfn.XLOOKUP(--TRIM(F$36), $B$25:$B$34, $C$25:$G$34)
)
- _xlfn.XLOOKUP(TRIM($B37), $R$4:$R$10, $X$4:$X$10)
* _xlfn.XLOOKUP(--TRIM(F$36), $B$25:$B$34, $H$25:$H$34), ""
)</f>
        <v/>
      </c>
      <c r="G37">
        <f>_xlfn.IFNA(
SUMPRODUCT(
_xlfn.XLOOKUP(TRIM($B37), $R$4:$R$10, $S$4:$W$10),
_xlfn.XLOOKUP(--TRIM(G$36), $B$25:$B$34, $C$25:$G$34)
)
- _xlfn.XLOOKUP(TRIM($B37), $R$4:$R$10, $X$4:$X$10)
* _xlfn.XLOOKUP(--TRIM(G$36), $B$25:$B$34, $H$25:$H$34), ""
)</f>
        <v/>
      </c>
      <c r="H37">
        <f>_xlfn.IFNA(
SUMPRODUCT(
_xlfn.XLOOKUP(TRIM($B37), $R$4:$R$10, $S$4:$W$10),
_xlfn.XLOOKUP(--TRIM(H$36), $B$25:$B$34, $C$25:$G$34)
)
- _xlfn.XLOOKUP(TRIM($B37), $R$4:$R$10, $X$4:$X$10)
* _xlfn.XLOOKUP(--TRIM(H$36), $B$25:$B$34, $H$25:$H$34), ""
)</f>
        <v/>
      </c>
      <c r="I37">
        <f>_xlfn.IFNA(
SUMPRODUCT(
_xlfn.XLOOKUP(TRIM($B37), $R$4:$R$10, $S$4:$W$10),
_xlfn.XLOOKUP(--TRIM(I$36), $B$25:$B$34, $C$25:$G$34)
)
- _xlfn.XLOOKUP(TRIM($B37), $R$4:$R$10, $X$4:$X$10)
* _xlfn.XLOOKUP(--TRIM(I$36), $B$25:$B$34, $H$25:$H$34), ""
)</f>
        <v/>
      </c>
      <c r="J37">
        <f>_xlfn.IFNA(
SUMPRODUCT(
_xlfn.XLOOKUP(TRIM($B37), $R$4:$R$10, $S$4:$W$10),
_xlfn.XLOOKUP(--TRIM(J$36), $B$25:$B$34, $C$25:$G$34)
)
- _xlfn.XLOOKUP(TRIM($B37), $R$4:$R$10, $X$4:$X$10)
* _xlfn.XLOOKUP(--TRIM(J$36), $B$25:$B$34, $H$25:$H$34), ""
)</f>
        <v/>
      </c>
      <c r="K37">
        <f>_xlfn.IFNA(
SUMPRODUCT(
_xlfn.XLOOKUP(TRIM($B37), $R$4:$R$10, $S$4:$W$10),
_xlfn.XLOOKUP(--TRIM(K$36), $B$25:$B$34, $C$25:$G$34)
)
- _xlfn.XLOOKUP(TRIM($B37), $R$4:$R$10, $X$4:$X$10)
* _xlfn.XLOOKUP(--TRIM(K$36), $B$25:$B$34, $H$25:$H$34), ""
)</f>
        <v/>
      </c>
      <c r="L37">
        <f>_xlfn.IFNA(
SUMPRODUCT(
_xlfn.XLOOKUP(TRIM($B37), $R$4:$R$10, $S$4:$W$10),
_xlfn.XLOOKUP(--TRIM(L$36), $B$25:$B$34, $C$25:$G$34)
)
- _xlfn.XLOOKUP(TRIM($B37), $R$4:$R$10, $X$4:$X$10)
* _xlfn.XLOOKUP(--TRIM(L$36), $B$25:$B$34, $H$25:$H$34), ""
)</f>
        <v/>
      </c>
    </row>
    <row r="38">
      <c r="B38" s="10" t="inlineStr">
        <is>
          <t>B</t>
        </is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/>
      </c>
      <c r="D38">
        <f>_xlfn.IFNA(
SUMPRODUCT(
_xlfn.XLOOKUP(TRIM($B38), $R$4:$R$10, $S$4:$W$10),
_xlfn.XLOOKUP(--TRIM(D$36), $B$25:$B$34, $C$25:$G$34)
)
- _xlfn.XLOOKUP(TRIM($B38), $R$4:$R$10, $X$4:$X$10)
* _xlfn.XLOOKUP(--TRIM(D$36), $B$25:$B$34, $H$25:$H$34), ""
)</f>
        <v/>
      </c>
      <c r="E38">
        <f>_xlfn.IFNA(
SUMPRODUCT(
_xlfn.XLOOKUP(TRIM($B38), $R$4:$R$10, $S$4:$W$10),
_xlfn.XLOOKUP(--TRIM(E$36), $B$25:$B$34, $C$25:$G$34)
)
- _xlfn.XLOOKUP(TRIM($B38), $R$4:$R$10, $X$4:$X$10)
* _xlfn.XLOOKUP(--TRIM(E$36), $B$25:$B$34, $H$25:$H$34), ""
)</f>
        <v/>
      </c>
      <c r="F38">
        <f>_xlfn.IFNA(
SUMPRODUCT(
_xlfn.XLOOKUP(TRIM($B38), $R$4:$R$10, $S$4:$W$10),
_xlfn.XLOOKUP(--TRIM(F$36), $B$25:$B$34, $C$25:$G$34)
)
- _xlfn.XLOOKUP(TRIM($B38), $R$4:$R$10, $X$4:$X$10)
* _xlfn.XLOOKUP(--TRIM(F$36), $B$25:$B$34, $H$25:$H$34), ""
)</f>
        <v/>
      </c>
      <c r="G38">
        <f>_xlfn.IFNA(
SUMPRODUCT(
_xlfn.XLOOKUP(TRIM($B38), $R$4:$R$10, $S$4:$W$10),
_xlfn.XLOOKUP(--TRIM(G$36), $B$25:$B$34, $C$25:$G$34)
)
- _xlfn.XLOOKUP(TRIM($B38), $R$4:$R$10, $X$4:$X$10)
* _xlfn.XLOOKUP(--TRIM(G$36), $B$25:$B$34, $H$25:$H$34), ""
)</f>
        <v/>
      </c>
      <c r="H38">
        <f>_xlfn.IFNA(
SUMPRODUCT(
_xlfn.XLOOKUP(TRIM($B38), $R$4:$R$10, $S$4:$W$10),
_xlfn.XLOOKUP(--TRIM(H$36), $B$25:$B$34, $C$25:$G$34)
)
- _xlfn.XLOOKUP(TRIM($B38), $R$4:$R$10, $X$4:$X$10)
* _xlfn.XLOOKUP(--TRIM(H$36), $B$25:$B$34, $H$25:$H$34), ""
)</f>
        <v/>
      </c>
      <c r="I38">
        <f>_xlfn.IFNA(
SUMPRODUCT(
_xlfn.XLOOKUP(TRIM($B38), $R$4:$R$10, $S$4:$W$10),
_xlfn.XLOOKUP(--TRIM(I$36), $B$25:$B$34, $C$25:$G$34)
)
- _xlfn.XLOOKUP(TRIM($B38), $R$4:$R$10, $X$4:$X$10)
* _xlfn.XLOOKUP(--TRIM(I$36), $B$25:$B$34, $H$25:$H$34), ""
)</f>
        <v/>
      </c>
      <c r="J38">
        <f>_xlfn.IFNA(
SUMPRODUCT(
_xlfn.XLOOKUP(TRIM($B38), $R$4:$R$10, $S$4:$W$10),
_xlfn.XLOOKUP(--TRIM(J$36), $B$25:$B$34, $C$25:$G$34)
)
- _xlfn.XLOOKUP(TRIM($B38), $R$4:$R$10, $X$4:$X$10)
* _xlfn.XLOOKUP(--TRIM(J$36), $B$25:$B$34, $H$25:$H$34), ""
)</f>
        <v/>
      </c>
      <c r="K38">
        <f>_xlfn.IFNA(
SUMPRODUCT(
_xlfn.XLOOKUP(TRIM($B38), $R$4:$R$10, $S$4:$W$10),
_xlfn.XLOOKUP(--TRIM(K$36), $B$25:$B$34, $C$25:$G$34)
)
- _xlfn.XLOOKUP(TRIM($B38), $R$4:$R$10, $X$4:$X$10)
* _xlfn.XLOOKUP(--TRIM(K$36), $B$25:$B$34, $H$25:$H$34), ""
)</f>
        <v/>
      </c>
      <c r="L38">
        <f>_xlfn.IFNA(
SUMPRODUCT(
_xlfn.XLOOKUP(TRIM($B38), $R$4:$R$10, $S$4:$W$10),
_xlfn.XLOOKUP(--TRIM(L$36), $B$25:$B$34, $C$25:$G$34)
)
- _xlfn.XLOOKUP(TRIM($B38), $R$4:$R$10, $X$4:$X$10)
* _xlfn.XLOOKUP(--TRIM(L$36), $B$25:$B$34, $H$25:$H$34), ""
)</f>
        <v/>
      </c>
    </row>
    <row r="39">
      <c r="B39" s="10" t="inlineStr">
        <is>
          <t>C</t>
        </is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/>
      </c>
      <c r="D39">
        <f>_xlfn.IFNA(
SUMPRODUCT(
_xlfn.XLOOKUP(TRIM($B39), $R$4:$R$10, $S$4:$W$10),
_xlfn.XLOOKUP(--TRIM(D$36), $B$25:$B$34, $C$25:$G$34)
)
- _xlfn.XLOOKUP(TRIM($B39), $R$4:$R$10, $X$4:$X$10)
* _xlfn.XLOOKUP(--TRIM(D$36), $B$25:$B$34, $H$25:$H$34), ""
)</f>
        <v/>
      </c>
      <c r="E39">
        <f>_xlfn.IFNA(
SUMPRODUCT(
_xlfn.XLOOKUP(TRIM($B39), $R$4:$R$10, $S$4:$W$10),
_xlfn.XLOOKUP(--TRIM(E$36), $B$25:$B$34, $C$25:$G$34)
)
- _xlfn.XLOOKUP(TRIM($B39), $R$4:$R$10, $X$4:$X$10)
* _xlfn.XLOOKUP(--TRIM(E$36), $B$25:$B$34, $H$25:$H$34), ""
)</f>
        <v/>
      </c>
      <c r="F39">
        <f>_xlfn.IFNA(
SUMPRODUCT(
_xlfn.XLOOKUP(TRIM($B39), $R$4:$R$10, $S$4:$W$10),
_xlfn.XLOOKUP(--TRIM(F$36), $B$25:$B$34, $C$25:$G$34)
)
- _xlfn.XLOOKUP(TRIM($B39), $R$4:$R$10, $X$4:$X$10)
* _xlfn.XLOOKUP(--TRIM(F$36), $B$25:$B$34, $H$25:$H$34), ""
)</f>
        <v/>
      </c>
      <c r="G39">
        <f>_xlfn.IFNA(
SUMPRODUCT(
_xlfn.XLOOKUP(TRIM($B39), $R$4:$R$10, $S$4:$W$10),
_xlfn.XLOOKUP(--TRIM(G$36), $B$25:$B$34, $C$25:$G$34)
)
- _xlfn.XLOOKUP(TRIM($B39), $R$4:$R$10, $X$4:$X$10)
* _xlfn.XLOOKUP(--TRIM(G$36), $B$25:$B$34, $H$25:$H$34), ""
)</f>
        <v/>
      </c>
      <c r="H39">
        <f>_xlfn.IFNA(
SUMPRODUCT(
_xlfn.XLOOKUP(TRIM($B39), $R$4:$R$10, $S$4:$W$10),
_xlfn.XLOOKUP(--TRIM(H$36), $B$25:$B$34, $C$25:$G$34)
)
- _xlfn.XLOOKUP(TRIM($B39), $R$4:$R$10, $X$4:$X$10)
* _xlfn.XLOOKUP(--TRIM(H$36), $B$25:$B$34, $H$25:$H$34), ""
)</f>
        <v/>
      </c>
      <c r="I39">
        <f>_xlfn.IFNA(
SUMPRODUCT(
_xlfn.XLOOKUP(TRIM($B39), $R$4:$R$10, $S$4:$W$10),
_xlfn.XLOOKUP(--TRIM(I$36), $B$25:$B$34, $C$25:$G$34)
)
- _xlfn.XLOOKUP(TRIM($B39), $R$4:$R$10, $X$4:$X$10)
* _xlfn.XLOOKUP(--TRIM(I$36), $B$25:$B$34, $H$25:$H$34), ""
)</f>
        <v/>
      </c>
      <c r="J39">
        <f>_xlfn.IFNA(
SUMPRODUCT(
_xlfn.XLOOKUP(TRIM($B39), $R$4:$R$10, $S$4:$W$10),
_xlfn.XLOOKUP(--TRIM(J$36), $B$25:$B$34, $C$25:$G$34)
)
- _xlfn.XLOOKUP(TRIM($B39), $R$4:$R$10, $X$4:$X$10)
* _xlfn.XLOOKUP(--TRIM(J$36), $B$25:$B$34, $H$25:$H$34), ""
)</f>
        <v/>
      </c>
      <c r="K39">
        <f>_xlfn.IFNA(
SUMPRODUCT(
_xlfn.XLOOKUP(TRIM($B39), $R$4:$R$10, $S$4:$W$10),
_xlfn.XLOOKUP(--TRIM(K$36), $B$25:$B$34, $C$25:$G$34)
)
- _xlfn.XLOOKUP(TRIM($B39), $R$4:$R$10, $X$4:$X$10)
* _xlfn.XLOOKUP(--TRIM(K$36), $B$25:$B$34, $H$25:$H$34), ""
)</f>
        <v/>
      </c>
      <c r="L39">
        <f>_xlfn.IFNA(
SUMPRODUCT(
_xlfn.XLOOKUP(TRIM($B39), $R$4:$R$10, $S$4:$W$10),
_xlfn.XLOOKUP(--TRIM(L$36), $B$25:$B$34, $C$25:$G$34)
)
- _xlfn.XLOOKUP(TRIM($B39), $R$4:$R$10, $X$4:$X$10)
* _xlfn.XLOOKUP(--TRIM(L$36), $B$25:$B$34, $H$25:$H$34), ""
)</f>
        <v/>
      </c>
    </row>
    <row r="40">
      <c r="B40" s="10" t="inlineStr">
        <is>
          <t>D</t>
        </is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/>
      </c>
      <c r="D40">
        <f>_xlfn.IFNA(
SUMPRODUCT(
_xlfn.XLOOKUP(TRIM($B40), $R$4:$R$10, $S$4:$W$10),
_xlfn.XLOOKUP(--TRIM(D$36), $B$25:$B$34, $C$25:$G$34)
)
- _xlfn.XLOOKUP(TRIM($B40), $R$4:$R$10, $X$4:$X$10)
* _xlfn.XLOOKUP(--TRIM(D$36), $B$25:$B$34, $H$25:$H$34), ""
)</f>
        <v/>
      </c>
      <c r="E40">
        <f>_xlfn.IFNA(
SUMPRODUCT(
_xlfn.XLOOKUP(TRIM($B40), $R$4:$R$10, $S$4:$W$10),
_xlfn.XLOOKUP(--TRIM(E$36), $B$25:$B$34, $C$25:$G$34)
)
- _xlfn.XLOOKUP(TRIM($B40), $R$4:$R$10, $X$4:$X$10)
* _xlfn.XLOOKUP(--TRIM(E$36), $B$25:$B$34, $H$25:$H$34), ""
)</f>
        <v/>
      </c>
      <c r="F40">
        <f>_xlfn.IFNA(
SUMPRODUCT(
_xlfn.XLOOKUP(TRIM($B40), $R$4:$R$10, $S$4:$W$10),
_xlfn.XLOOKUP(--TRIM(F$36), $B$25:$B$34, $C$25:$G$34)
)
- _xlfn.XLOOKUP(TRIM($B40), $R$4:$R$10, $X$4:$X$10)
* _xlfn.XLOOKUP(--TRIM(F$36), $B$25:$B$34, $H$25:$H$34), ""
)</f>
        <v/>
      </c>
      <c r="G40">
        <f>_xlfn.IFNA(
SUMPRODUCT(
_xlfn.XLOOKUP(TRIM($B40), $R$4:$R$10, $S$4:$W$10),
_xlfn.XLOOKUP(--TRIM(G$36), $B$25:$B$34, $C$25:$G$34)
)
- _xlfn.XLOOKUP(TRIM($B40), $R$4:$R$10, $X$4:$X$10)
* _xlfn.XLOOKUP(--TRIM(G$36), $B$25:$B$34, $H$25:$H$34), ""
)</f>
        <v/>
      </c>
      <c r="H40">
        <f>_xlfn.IFNA(
SUMPRODUCT(
_xlfn.XLOOKUP(TRIM($B40), $R$4:$R$10, $S$4:$W$10),
_xlfn.XLOOKUP(--TRIM(H$36), $B$25:$B$34, $C$25:$G$34)
)
- _xlfn.XLOOKUP(TRIM($B40), $R$4:$R$10, $X$4:$X$10)
* _xlfn.XLOOKUP(--TRIM(H$36), $B$25:$B$34, $H$25:$H$34), ""
)</f>
        <v/>
      </c>
      <c r="I40">
        <f>_xlfn.IFNA(
SUMPRODUCT(
_xlfn.XLOOKUP(TRIM($B40), $R$4:$R$10, $S$4:$W$10),
_xlfn.XLOOKUP(--TRIM(I$36), $B$25:$B$34, $C$25:$G$34)
)
- _xlfn.XLOOKUP(TRIM($B40), $R$4:$R$10, $X$4:$X$10)
* _xlfn.XLOOKUP(--TRIM(I$36), $B$25:$B$34, $H$25:$H$34), ""
)</f>
        <v/>
      </c>
      <c r="J40">
        <f>_xlfn.IFNA(
SUMPRODUCT(
_xlfn.XLOOKUP(TRIM($B40), $R$4:$R$10, $S$4:$W$10),
_xlfn.XLOOKUP(--TRIM(J$36), $B$25:$B$34, $C$25:$G$34)
)
- _xlfn.XLOOKUP(TRIM($B40), $R$4:$R$10, $X$4:$X$10)
* _xlfn.XLOOKUP(--TRIM(J$36), $B$25:$B$34, $H$25:$H$34), ""
)</f>
        <v/>
      </c>
      <c r="K40">
        <f>_xlfn.IFNA(
SUMPRODUCT(
_xlfn.XLOOKUP(TRIM($B40), $R$4:$R$10, $S$4:$W$10),
_xlfn.XLOOKUP(--TRIM(K$36), $B$25:$B$34, $C$25:$G$34)
)
- _xlfn.XLOOKUP(TRIM($B40), $R$4:$R$10, $X$4:$X$10)
* _xlfn.XLOOKUP(--TRIM(K$36), $B$25:$B$34, $H$25:$H$34), ""
)</f>
        <v/>
      </c>
      <c r="L40">
        <f>_xlfn.IFNA(
SUMPRODUCT(
_xlfn.XLOOKUP(TRIM($B40), $R$4:$R$10, $S$4:$W$10),
_xlfn.XLOOKUP(--TRIM(L$36), $B$25:$B$34, $C$25:$G$34)
)
- _xlfn.XLOOKUP(TRIM($B40), $R$4:$R$10, $X$4:$X$10)
* _xlfn.XLOOKUP(--TRIM(L$36), $B$25:$B$34, $H$25:$H$34), ""
)</f>
        <v/>
      </c>
    </row>
    <row r="41">
      <c r="B41" s="10" t="inlineStr">
        <is>
          <t>E</t>
        </is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/>
      </c>
      <c r="D41">
        <f>_xlfn.IFNA(
SUMPRODUCT(
_xlfn.XLOOKUP(TRIM($B41), $R$4:$R$10, $S$4:$W$10),
_xlfn.XLOOKUP(--TRIM(D$36), $B$25:$B$34, $C$25:$G$34)
)
- _xlfn.XLOOKUP(TRIM($B41), $R$4:$R$10, $X$4:$X$10)
* _xlfn.XLOOKUP(--TRIM(D$36), $B$25:$B$34, $H$25:$H$34), ""
)</f>
        <v/>
      </c>
      <c r="E41">
        <f>_xlfn.IFNA(
SUMPRODUCT(
_xlfn.XLOOKUP(TRIM($B41), $R$4:$R$10, $S$4:$W$10),
_xlfn.XLOOKUP(--TRIM(E$36), $B$25:$B$34, $C$25:$G$34)
)
- _xlfn.XLOOKUP(TRIM($B41), $R$4:$R$10, $X$4:$X$10)
* _xlfn.XLOOKUP(--TRIM(E$36), $B$25:$B$34, $H$25:$H$34), ""
)</f>
        <v/>
      </c>
      <c r="F41">
        <f>_xlfn.IFNA(
SUMPRODUCT(
_xlfn.XLOOKUP(TRIM($B41), $R$4:$R$10, $S$4:$W$10),
_xlfn.XLOOKUP(--TRIM(F$36), $B$25:$B$34, $C$25:$G$34)
)
- _xlfn.XLOOKUP(TRIM($B41), $R$4:$R$10, $X$4:$X$10)
* _xlfn.XLOOKUP(--TRIM(F$36), $B$25:$B$34, $H$25:$H$34), ""
)</f>
        <v/>
      </c>
      <c r="G41">
        <f>_xlfn.IFNA(
SUMPRODUCT(
_xlfn.XLOOKUP(TRIM($B41), $R$4:$R$10, $S$4:$W$10),
_xlfn.XLOOKUP(--TRIM(G$36), $B$25:$B$34, $C$25:$G$34)
)
- _xlfn.XLOOKUP(TRIM($B41), $R$4:$R$10, $X$4:$X$10)
* _xlfn.XLOOKUP(--TRIM(G$36), $B$25:$B$34, $H$25:$H$34), ""
)</f>
        <v/>
      </c>
      <c r="H41">
        <f>_xlfn.IFNA(
SUMPRODUCT(
_xlfn.XLOOKUP(TRIM($B41), $R$4:$R$10, $S$4:$W$10),
_xlfn.XLOOKUP(--TRIM(H$36), $B$25:$B$34, $C$25:$G$34)
)
- _xlfn.XLOOKUP(TRIM($B41), $R$4:$R$10, $X$4:$X$10)
* _xlfn.XLOOKUP(--TRIM(H$36), $B$25:$B$34, $H$25:$H$34), ""
)</f>
        <v/>
      </c>
      <c r="I41">
        <f>_xlfn.IFNA(
SUMPRODUCT(
_xlfn.XLOOKUP(TRIM($B41), $R$4:$R$10, $S$4:$W$10),
_xlfn.XLOOKUP(--TRIM(I$36), $B$25:$B$34, $C$25:$G$34)
)
- _xlfn.XLOOKUP(TRIM($B41), $R$4:$R$10, $X$4:$X$10)
* _xlfn.XLOOKUP(--TRIM(I$36), $B$25:$B$34, $H$25:$H$34), ""
)</f>
        <v/>
      </c>
      <c r="J41">
        <f>_xlfn.IFNA(
SUMPRODUCT(
_xlfn.XLOOKUP(TRIM($B41), $R$4:$R$10, $S$4:$W$10),
_xlfn.XLOOKUP(--TRIM(J$36), $B$25:$B$34, $C$25:$G$34)
)
- _xlfn.XLOOKUP(TRIM($B41), $R$4:$R$10, $X$4:$X$10)
* _xlfn.XLOOKUP(--TRIM(J$36), $B$25:$B$34, $H$25:$H$34), ""
)</f>
        <v/>
      </c>
      <c r="K41">
        <f>_xlfn.IFNA(
SUMPRODUCT(
_xlfn.XLOOKUP(TRIM($B41), $R$4:$R$10, $S$4:$W$10),
_xlfn.XLOOKUP(--TRIM(K$36), $B$25:$B$34, $C$25:$G$34)
)
- _xlfn.XLOOKUP(TRIM($B41), $R$4:$R$10, $X$4:$X$10)
* _xlfn.XLOOKUP(--TRIM(K$36), $B$25:$B$34, $H$25:$H$34), ""
)</f>
        <v/>
      </c>
      <c r="L41">
        <f>_xlfn.IFNA(
SUMPRODUCT(
_xlfn.XLOOKUP(TRIM($B41), $R$4:$R$10, $S$4:$W$10),
_xlfn.XLOOKUP(--TRIM(L$36), $B$25:$B$34, $C$25:$G$34)
)
- _xlfn.XLOOKUP(TRIM($B41), $R$4:$R$10, $X$4:$X$10)
* _xlfn.XLOOKUP(--TRIM(L$36), $B$25:$B$34, $H$25:$H$34), ""
)</f>
        <v/>
      </c>
    </row>
    <row r="42">
      <c r="B42" s="10" t="inlineStr">
        <is>
          <t>F</t>
        </is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/>
      </c>
      <c r="D42">
        <f>_xlfn.IFNA(
SUMPRODUCT(
_xlfn.XLOOKUP(TRIM($B42), $R$4:$R$10, $S$4:$W$10),
_xlfn.XLOOKUP(--TRIM(D$36), $B$25:$B$34, $C$25:$G$34)
)
- _xlfn.XLOOKUP(TRIM($B42), $R$4:$R$10, $X$4:$X$10)
* _xlfn.XLOOKUP(--TRIM(D$36), $B$25:$B$34, $H$25:$H$34), ""
)</f>
        <v/>
      </c>
      <c r="E42">
        <f>_xlfn.IFNA(
SUMPRODUCT(
_xlfn.XLOOKUP(TRIM($B42), $R$4:$R$10, $S$4:$W$10),
_xlfn.XLOOKUP(--TRIM(E$36), $B$25:$B$34, $C$25:$G$34)
)
- _xlfn.XLOOKUP(TRIM($B42), $R$4:$R$10, $X$4:$X$10)
* _xlfn.XLOOKUP(--TRIM(E$36), $B$25:$B$34, $H$25:$H$34), ""
)</f>
        <v/>
      </c>
      <c r="F42">
        <f>_xlfn.IFNA(
SUMPRODUCT(
_xlfn.XLOOKUP(TRIM($B42), $R$4:$R$10, $S$4:$W$10),
_xlfn.XLOOKUP(--TRIM(F$36), $B$25:$B$34, $C$25:$G$34)
)
- _xlfn.XLOOKUP(TRIM($B42), $R$4:$R$10, $X$4:$X$10)
* _xlfn.XLOOKUP(--TRIM(F$36), $B$25:$B$34, $H$25:$H$34), ""
)</f>
        <v/>
      </c>
      <c r="G42">
        <f>_xlfn.IFNA(
SUMPRODUCT(
_xlfn.XLOOKUP(TRIM($B42), $R$4:$R$10, $S$4:$W$10),
_xlfn.XLOOKUP(--TRIM(G$36), $B$25:$B$34, $C$25:$G$34)
)
- _xlfn.XLOOKUP(TRIM($B42), $R$4:$R$10, $X$4:$X$10)
* _xlfn.XLOOKUP(--TRIM(G$36), $B$25:$B$34, $H$25:$H$34), ""
)</f>
        <v/>
      </c>
      <c r="H42">
        <f>_xlfn.IFNA(
SUMPRODUCT(
_xlfn.XLOOKUP(TRIM($B42), $R$4:$R$10, $S$4:$W$10),
_xlfn.XLOOKUP(--TRIM(H$36), $B$25:$B$34, $C$25:$G$34)
)
- _xlfn.XLOOKUP(TRIM($B42), $R$4:$R$10, $X$4:$X$10)
* _xlfn.XLOOKUP(--TRIM(H$36), $B$25:$B$34, $H$25:$H$34), ""
)</f>
        <v/>
      </c>
      <c r="I42">
        <f>_xlfn.IFNA(
SUMPRODUCT(
_xlfn.XLOOKUP(TRIM($B42), $R$4:$R$10, $S$4:$W$10),
_xlfn.XLOOKUP(--TRIM(I$36), $B$25:$B$34, $C$25:$G$34)
)
- _xlfn.XLOOKUP(TRIM($B42), $R$4:$R$10, $X$4:$X$10)
* _xlfn.XLOOKUP(--TRIM(I$36), $B$25:$B$34, $H$25:$H$34), ""
)</f>
        <v/>
      </c>
      <c r="J42">
        <f>_xlfn.IFNA(
SUMPRODUCT(
_xlfn.XLOOKUP(TRIM($B42), $R$4:$R$10, $S$4:$W$10),
_xlfn.XLOOKUP(--TRIM(J$36), $B$25:$B$34, $C$25:$G$34)
)
- _xlfn.XLOOKUP(TRIM($B42), $R$4:$R$10, $X$4:$X$10)
* _xlfn.XLOOKUP(--TRIM(J$36), $B$25:$B$34, $H$25:$H$34), ""
)</f>
        <v/>
      </c>
      <c r="K42">
        <f>_xlfn.IFNA(
SUMPRODUCT(
_xlfn.XLOOKUP(TRIM($B42), $R$4:$R$10, $S$4:$W$10),
_xlfn.XLOOKUP(--TRIM(K$36), $B$25:$B$34, $C$25:$G$34)
)
- _xlfn.XLOOKUP(TRIM($B42), $R$4:$R$10, $X$4:$X$10)
* _xlfn.XLOOKUP(--TRIM(K$36), $B$25:$B$34, $H$25:$H$34), ""
)</f>
        <v/>
      </c>
      <c r="L42">
        <f>_xlfn.IFNA(
SUMPRODUCT(
_xlfn.XLOOKUP(TRIM($B42), $R$4:$R$10, $S$4:$W$10),
_xlfn.XLOOKUP(--TRIM(L$36), $B$25:$B$34, $C$25:$G$34)
)
- _xlfn.XLOOKUP(TRIM($B42), $R$4:$R$10, $X$4:$X$10)
* _xlfn.XLOOKUP(--TRIM(L$36), $B$25:$B$34, $H$25:$H$34), ""
)</f>
        <v/>
      </c>
    </row>
    <row r="43">
      <c r="B43" s="10" t="inlineStr">
        <is>
          <t>G</t>
        </is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/>
      </c>
      <c r="D43">
        <f>_xlfn.IFNA(
SUMPRODUCT(
_xlfn.XLOOKUP(TRIM($B43), $R$4:$R$10, $S$4:$W$10),
_xlfn.XLOOKUP(--TRIM(D$36), $B$25:$B$34, $C$25:$G$34)
)
- _xlfn.XLOOKUP(TRIM($B43), $R$4:$R$10, $X$4:$X$10)
* _xlfn.XLOOKUP(--TRIM(D$36), $B$25:$B$34, $H$25:$H$34), ""
)</f>
        <v/>
      </c>
      <c r="E43">
        <f>_xlfn.IFNA(
SUMPRODUCT(
_xlfn.XLOOKUP(TRIM($B43), $R$4:$R$10, $S$4:$W$10),
_xlfn.XLOOKUP(--TRIM(E$36), $B$25:$B$34, $C$25:$G$34)
)
- _xlfn.XLOOKUP(TRIM($B43), $R$4:$R$10, $X$4:$X$10)
* _xlfn.XLOOKUP(--TRIM(E$36), $B$25:$B$34, $H$25:$H$34), ""
)</f>
        <v/>
      </c>
      <c r="F43">
        <f>_xlfn.IFNA(
SUMPRODUCT(
_xlfn.XLOOKUP(TRIM($B43), $R$4:$R$10, $S$4:$W$10),
_xlfn.XLOOKUP(--TRIM(F$36), $B$25:$B$34, $C$25:$G$34)
)
- _xlfn.XLOOKUP(TRIM($B43), $R$4:$R$10, $X$4:$X$10)
* _xlfn.XLOOKUP(--TRIM(F$36), $B$25:$B$34, $H$25:$H$34), ""
)</f>
        <v/>
      </c>
      <c r="G43">
        <f>_xlfn.IFNA(
SUMPRODUCT(
_xlfn.XLOOKUP(TRIM($B43), $R$4:$R$10, $S$4:$W$10),
_xlfn.XLOOKUP(--TRIM(G$36), $B$25:$B$34, $C$25:$G$34)
)
- _xlfn.XLOOKUP(TRIM($B43), $R$4:$R$10, $X$4:$X$10)
* _xlfn.XLOOKUP(--TRIM(G$36), $B$25:$B$34, $H$25:$H$34), ""
)</f>
        <v/>
      </c>
      <c r="H43">
        <f>_xlfn.IFNA(
SUMPRODUCT(
_xlfn.XLOOKUP(TRIM($B43), $R$4:$R$10, $S$4:$W$10),
_xlfn.XLOOKUP(--TRIM(H$36), $B$25:$B$34, $C$25:$G$34)
)
- _xlfn.XLOOKUP(TRIM($B43), $R$4:$R$10, $X$4:$X$10)
* _xlfn.XLOOKUP(--TRIM(H$36), $B$25:$B$34, $H$25:$H$34), ""
)</f>
        <v/>
      </c>
      <c r="I43">
        <f>_xlfn.IFNA(
SUMPRODUCT(
_xlfn.XLOOKUP(TRIM($B43), $R$4:$R$10, $S$4:$W$10),
_xlfn.XLOOKUP(--TRIM(I$36), $B$25:$B$34, $C$25:$G$34)
)
- _xlfn.XLOOKUP(TRIM($B43), $R$4:$R$10, $X$4:$X$10)
* _xlfn.XLOOKUP(--TRIM(I$36), $B$25:$B$34, $H$25:$H$34), ""
)</f>
        <v/>
      </c>
      <c r="J43">
        <f>_xlfn.IFNA(
SUMPRODUCT(
_xlfn.XLOOKUP(TRIM($B43), $R$4:$R$10, $S$4:$W$10),
_xlfn.XLOOKUP(--TRIM(J$36), $B$25:$B$34, $C$25:$G$34)
)
- _xlfn.XLOOKUP(TRIM($B43), $R$4:$R$10, $X$4:$X$10)
* _xlfn.XLOOKUP(--TRIM(J$36), $B$25:$B$34, $H$25:$H$34), ""
)</f>
        <v/>
      </c>
      <c r="K43">
        <f>_xlfn.IFNA(
SUMPRODUCT(
_xlfn.XLOOKUP(TRIM($B43), $R$4:$R$10, $S$4:$W$10),
_xlfn.XLOOKUP(--TRIM(K$36), $B$25:$B$34, $C$25:$G$34)
)
- _xlfn.XLOOKUP(TRIM($B43), $R$4:$R$10, $X$4:$X$10)
* _xlfn.XLOOKUP(--TRIM(K$36), $B$25:$B$34, $H$25:$H$34), ""
)</f>
        <v/>
      </c>
      <c r="L43">
        <f>_xlfn.IFNA(
SUMPRODUCT(
_xlfn.XLOOKUP(TRIM($B43), $R$4:$R$10, $S$4:$W$10),
_xlfn.XLOOKUP(--TRIM(L$36), $B$25:$B$34, $C$25:$G$34)
)
- _xlfn.XLOOKUP(TRIM($B43), $R$4:$R$10, $X$4:$X$10)
* _xlfn.XLOOKUP(--TRIM(L$36), $B$25:$B$34, $H$25:$H$34), ""
)</f>
        <v/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43"/>
  <sheetViews>
    <sheetView showGridLines="0" workbookViewId="0">
      <selection activeCell="A1" sqref="A1"/>
    </sheetView>
  </sheetViews>
  <sheetFormatPr baseColWidth="8" defaultColWidth="8.6640625" defaultRowHeight="14.4"/>
  <cols>
    <col width="8.6640625" customWidth="1" style="60" min="1" max="1"/>
    <col width="19" customWidth="1" style="3" min="2" max="2"/>
    <col width="13.6640625" customWidth="1" style="60" min="3" max="7"/>
    <col width="10.77734375" customWidth="1" style="60" min="8" max="8"/>
    <col width="18.44140625" customWidth="1" style="60" min="9" max="9"/>
    <col width="13.6640625" customWidth="1" style="60" min="10" max="10"/>
    <col width="16" customWidth="1" style="60" min="11" max="11"/>
    <col width="13.6640625" customWidth="1" style="60" min="12" max="14"/>
    <col width="12.109375" customWidth="1" style="60" min="15" max="15"/>
    <col width="13.109375" customWidth="1" style="60" min="16" max="16"/>
  </cols>
  <sheetData>
    <row r="1">
      <c r="B1" s="35" t="inlineStr">
        <is>
          <t>Q1. Equal Weights</t>
        </is>
      </c>
      <c r="C1" s="34" t="n">
        <v>1</v>
      </c>
      <c r="D1" s="34" t="n">
        <v>1</v>
      </c>
      <c r="E1" s="34" t="n">
        <v>1</v>
      </c>
      <c r="F1" s="34" t="n">
        <v>1</v>
      </c>
      <c r="G1" s="34" t="n">
        <v>1</v>
      </c>
    </row>
    <row r="2">
      <c r="B2" s="35" t="inlineStr">
        <is>
          <t>Q2. Different Weights</t>
        </is>
      </c>
      <c r="C2" s="34" t="n">
        <v>1</v>
      </c>
      <c r="D2" s="34" t="n">
        <v>1</v>
      </c>
      <c r="E2" s="34" t="n">
        <v>1</v>
      </c>
      <c r="F2" s="34" t="n">
        <v>2</v>
      </c>
      <c r="G2" s="34" t="n">
        <v>2</v>
      </c>
    </row>
    <row r="3" ht="41.4" customHeight="1" s="60">
      <c r="B3" s="4" t="inlineStr">
        <is>
          <t>Supplier</t>
        </is>
      </c>
      <c r="C3" s="57" t="inlineStr">
        <is>
          <t>Environmental Risk</t>
        </is>
      </c>
      <c r="D3" s="57" t="inlineStr">
        <is>
          <t>Social Risk</t>
        </is>
      </c>
      <c r="E3" s="57" t="inlineStr">
        <is>
          <t>Cost Score</t>
        </is>
      </c>
      <c r="F3" s="57" t="inlineStr">
        <is>
          <t>Strategic Importance</t>
        </is>
      </c>
      <c r="G3" s="57" t="inlineStr">
        <is>
          <t>Improvement Potential</t>
        </is>
      </c>
      <c r="H3" s="16" t="inlineStr">
        <is>
          <t>Child Labor</t>
        </is>
      </c>
      <c r="I3" s="16" t="inlineStr">
        <is>
          <t>Banned Chemicals</t>
        </is>
      </c>
      <c r="J3" s="17" t="inlineStr">
        <is>
          <t>Low Product Quality</t>
        </is>
      </c>
      <c r="K3" s="33" t="inlineStr">
        <is>
          <t>Total Score</t>
        </is>
      </c>
      <c r="L3" s="14" t="inlineStr">
        <is>
          <t>Q1. Min Cost&amp; Enve&amp;Social Risk</t>
        </is>
      </c>
      <c r="M3" s="18" t="inlineStr">
        <is>
          <t xml:space="preserve">Q2. Max Improvement </t>
        </is>
      </c>
      <c r="R3" s="4" t="inlineStr">
        <is>
          <t>Supplier</t>
        </is>
      </c>
      <c r="S3" s="57" t="inlineStr">
        <is>
          <t>Environmental Risk</t>
        </is>
      </c>
      <c r="T3" s="57" t="inlineStr">
        <is>
          <t>Social Risk</t>
        </is>
      </c>
      <c r="U3" s="57" t="inlineStr">
        <is>
          <t>Cost Score</t>
        </is>
      </c>
      <c r="V3" s="57" t="inlineStr">
        <is>
          <t>Strategic Importance</t>
        </is>
      </c>
      <c r="W3" s="57" t="inlineStr">
        <is>
          <t>Improvement Potential</t>
        </is>
      </c>
      <c r="X3" s="17" t="inlineStr">
        <is>
          <t>Low Product Quality</t>
        </is>
      </c>
    </row>
    <row r="4">
      <c r="B4" s="10" t="inlineStr">
        <is>
          <t>A</t>
        </is>
      </c>
      <c r="C4" s="2" t="n">
        <v>2</v>
      </c>
      <c r="D4" s="2" t="n">
        <v>4</v>
      </c>
      <c r="E4" s="2" t="n">
        <v>1</v>
      </c>
      <c r="F4" s="2" t="n">
        <v>3</v>
      </c>
      <c r="G4" s="2" t="n">
        <v>4</v>
      </c>
      <c r="H4" s="6" t="n">
        <v>1</v>
      </c>
      <c r="I4" s="6" t="n">
        <v>0</v>
      </c>
      <c r="J4" s="6" t="n">
        <v>0</v>
      </c>
      <c r="K4" s="1">
        <f>SUM(C4:G4)</f>
        <v/>
      </c>
      <c r="L4" s="26">
        <f>SUMPRODUCT($C$1:$E$1,C4:E4)/SUM($C$1:$E$1)</f>
        <v/>
      </c>
      <c r="M4" s="26">
        <f>SUMPRODUCT(C4:G4,$C$2:$G$2)/SUM($C$2:$G$2)</f>
        <v/>
      </c>
      <c r="R4" s="10" t="inlineStr">
        <is>
          <t>A</t>
        </is>
      </c>
      <c r="S4" s="2" t="n">
        <v>2</v>
      </c>
      <c r="T4" s="2" t="n">
        <v>4</v>
      </c>
      <c r="U4" s="2" t="n">
        <v>1</v>
      </c>
      <c r="V4" s="2" t="n">
        <v>3</v>
      </c>
      <c r="W4" s="2" t="n">
        <v>4</v>
      </c>
      <c r="X4" s="6" t="n">
        <v>0</v>
      </c>
    </row>
    <row r="5">
      <c r="B5" s="10" t="inlineStr">
        <is>
          <t>B</t>
        </is>
      </c>
      <c r="C5" s="2" t="n">
        <v>3</v>
      </c>
      <c r="D5" s="2" t="n">
        <v>5</v>
      </c>
      <c r="E5" s="2" t="n">
        <v>2</v>
      </c>
      <c r="F5" s="2" t="n">
        <v>3</v>
      </c>
      <c r="G5" s="2" t="n">
        <v>3</v>
      </c>
      <c r="H5" s="6" t="n">
        <v>0</v>
      </c>
      <c r="I5" s="6" t="n">
        <v>0</v>
      </c>
      <c r="J5" s="6" t="n">
        <v>1</v>
      </c>
      <c r="K5" s="1">
        <f>SUM(C5:G5)</f>
        <v/>
      </c>
      <c r="L5" s="26">
        <f>SUMPRODUCT($C$1:$E$1,C5:E5)/SUM($C$1:$E$1)</f>
        <v/>
      </c>
      <c r="M5" s="26">
        <f>SUMPRODUCT(C5:G5,$C$2:$G$2)/SUM($C$2:$G$2)</f>
        <v/>
      </c>
      <c r="R5" s="10" t="inlineStr">
        <is>
          <t>B</t>
        </is>
      </c>
      <c r="S5" s="2" t="n">
        <v>3</v>
      </c>
      <c r="T5" s="2" t="n">
        <v>5</v>
      </c>
      <c r="U5" s="2" t="n">
        <v>2</v>
      </c>
      <c r="V5" s="2" t="n">
        <v>3</v>
      </c>
      <c r="W5" s="2" t="n">
        <v>3</v>
      </c>
      <c r="X5" s="6" t="n">
        <v>1</v>
      </c>
    </row>
    <row r="6">
      <c r="B6" s="10" t="inlineStr">
        <is>
          <t>C</t>
        </is>
      </c>
      <c r="C6" s="2" t="n">
        <v>2</v>
      </c>
      <c r="D6" s="2" t="n">
        <v>1</v>
      </c>
      <c r="E6" s="2" t="n">
        <v>3</v>
      </c>
      <c r="F6" s="2" t="n">
        <v>2</v>
      </c>
      <c r="G6" s="2" t="n">
        <v>3</v>
      </c>
      <c r="H6" s="6" t="n">
        <v>0</v>
      </c>
      <c r="I6" s="6" t="n">
        <v>1</v>
      </c>
      <c r="J6" s="6" t="n">
        <v>0</v>
      </c>
      <c r="K6" s="1">
        <f>SUM(C6:G6)</f>
        <v/>
      </c>
      <c r="L6" s="26">
        <f>SUMPRODUCT($C$1:$E$1,C6:E6)/SUM($C$1:$E$1)</f>
        <v/>
      </c>
      <c r="M6" s="26">
        <f>SUMPRODUCT(C6:G6,$C$2:$G$2)/SUM($C$2:$G$2)</f>
        <v/>
      </c>
      <c r="R6" s="10" t="inlineStr">
        <is>
          <t>C</t>
        </is>
      </c>
      <c r="S6" s="2" t="n">
        <v>2</v>
      </c>
      <c r="T6" s="2" t="n">
        <v>1</v>
      </c>
      <c r="U6" s="2" t="n">
        <v>3</v>
      </c>
      <c r="V6" s="2" t="n">
        <v>2</v>
      </c>
      <c r="W6" s="2" t="n">
        <v>3</v>
      </c>
      <c r="X6" s="6" t="n">
        <v>0</v>
      </c>
    </row>
    <row r="7">
      <c r="B7" s="10" t="inlineStr">
        <is>
          <t>D</t>
        </is>
      </c>
      <c r="C7" s="2" t="n">
        <v>2</v>
      </c>
      <c r="D7" s="2" t="n">
        <v>2</v>
      </c>
      <c r="E7" s="2" t="n">
        <v>5</v>
      </c>
      <c r="F7" s="2" t="n">
        <v>2</v>
      </c>
      <c r="G7" s="2" t="n">
        <v>2</v>
      </c>
      <c r="H7" s="6" t="n">
        <v>0</v>
      </c>
      <c r="I7" s="6" t="n">
        <v>0</v>
      </c>
      <c r="J7" s="6" t="n">
        <v>0</v>
      </c>
      <c r="K7" s="1">
        <f>SUM(C7:G7)</f>
        <v/>
      </c>
      <c r="L7" s="26">
        <f>SUMPRODUCT($C$1:$E$1,C7:E7)/SUM($C$1:$E$1)</f>
        <v/>
      </c>
      <c r="M7" s="26">
        <f>SUMPRODUCT(C7:G7,$C$2:$G$2)/SUM($C$2:$G$2)</f>
        <v/>
      </c>
      <c r="R7" s="10" t="inlineStr">
        <is>
          <t>D</t>
        </is>
      </c>
      <c r="S7" s="2" t="n">
        <v>2</v>
      </c>
      <c r="T7" s="2" t="n">
        <v>2</v>
      </c>
      <c r="U7" s="2" t="n">
        <v>5</v>
      </c>
      <c r="V7" s="2" t="n">
        <v>2</v>
      </c>
      <c r="W7" s="2" t="n">
        <v>2</v>
      </c>
      <c r="X7" s="6" t="n">
        <v>0</v>
      </c>
    </row>
    <row r="8">
      <c r="B8" s="10" t="inlineStr">
        <is>
          <t>E</t>
        </is>
      </c>
      <c r="C8" s="2" t="n">
        <v>3</v>
      </c>
      <c r="D8" s="2" t="n">
        <v>4</v>
      </c>
      <c r="E8" s="2" t="n">
        <v>3</v>
      </c>
      <c r="F8" s="2" t="n">
        <v>2</v>
      </c>
      <c r="G8" s="2" t="n">
        <v>5</v>
      </c>
      <c r="H8" s="6" t="n">
        <v>0</v>
      </c>
      <c r="I8" s="6" t="n">
        <v>0</v>
      </c>
      <c r="J8" s="6" t="n">
        <v>1</v>
      </c>
      <c r="K8" s="1">
        <f>SUM(C8:G8)</f>
        <v/>
      </c>
      <c r="L8" s="26">
        <f>SUMPRODUCT($C$1:$E$1,C8:E8)/SUM($C$1:$E$1)</f>
        <v/>
      </c>
      <c r="M8" s="26">
        <f>SUMPRODUCT(C8:G8,$C$2:$G$2)/SUM($C$2:$G$2)</f>
        <v/>
      </c>
      <c r="R8" s="10" t="inlineStr">
        <is>
          <t>E</t>
        </is>
      </c>
      <c r="S8" s="2" t="n">
        <v>3</v>
      </c>
      <c r="T8" s="2" t="n">
        <v>4</v>
      </c>
      <c r="U8" s="2" t="n">
        <v>3</v>
      </c>
      <c r="V8" s="2" t="n">
        <v>2</v>
      </c>
      <c r="W8" s="2" t="n">
        <v>5</v>
      </c>
      <c r="X8" s="6" t="n">
        <v>1</v>
      </c>
    </row>
    <row r="9">
      <c r="B9" s="10" t="inlineStr">
        <is>
          <t>F</t>
        </is>
      </c>
      <c r="C9" s="2" t="n">
        <v>5</v>
      </c>
      <c r="D9" s="2" t="n">
        <v>4</v>
      </c>
      <c r="E9" s="2" t="n">
        <v>2</v>
      </c>
      <c r="F9" s="2" t="n">
        <v>4</v>
      </c>
      <c r="G9" s="2" t="n">
        <v>4</v>
      </c>
      <c r="H9" s="6" t="n">
        <v>1</v>
      </c>
      <c r="I9" s="6" t="n">
        <v>1</v>
      </c>
      <c r="J9" s="6" t="n">
        <v>0</v>
      </c>
      <c r="K9" s="1">
        <f>SUM(C9:G9)</f>
        <v/>
      </c>
      <c r="L9" s="26">
        <f>SUMPRODUCT($C$1:$E$1,C9:E9)/SUM($C$1:$E$1)</f>
        <v/>
      </c>
      <c r="M9" s="26">
        <f>SUMPRODUCT(C9:G9,$C$2:$G$2)/SUM($C$2:$G$2)</f>
        <v/>
      </c>
      <c r="R9" s="10" t="inlineStr">
        <is>
          <t>F</t>
        </is>
      </c>
      <c r="S9" s="2" t="n">
        <v>5</v>
      </c>
      <c r="T9" s="2" t="n">
        <v>4</v>
      </c>
      <c r="U9" s="2" t="n">
        <v>2</v>
      </c>
      <c r="V9" s="2" t="n">
        <v>4</v>
      </c>
      <c r="W9" s="2" t="n">
        <v>4</v>
      </c>
      <c r="X9" s="6" t="n">
        <v>0</v>
      </c>
    </row>
    <row r="10">
      <c r="B10" s="10" t="inlineStr">
        <is>
          <t>G</t>
        </is>
      </c>
      <c r="C10" s="2" t="n">
        <v>2</v>
      </c>
      <c r="D10" s="2" t="n">
        <v>1</v>
      </c>
      <c r="E10" s="2" t="n">
        <v>3</v>
      </c>
      <c r="F10" s="2" t="n">
        <v>3</v>
      </c>
      <c r="G10" s="2" t="n">
        <v>3</v>
      </c>
      <c r="H10" s="6" t="n">
        <v>0</v>
      </c>
      <c r="I10" s="6" t="n">
        <v>0</v>
      </c>
      <c r="J10" s="6" t="n">
        <v>0</v>
      </c>
      <c r="K10" s="1">
        <f>SUM(C10:G10)</f>
        <v/>
      </c>
      <c r="L10" s="26">
        <f>SUMPRODUCT($C$1:$E$1,C10:E10)/SUM($C$1:$E$1)</f>
        <v/>
      </c>
      <c r="M10" s="26">
        <f>SUMPRODUCT(C10:G10,$C$2:$G$2)/SUM($C$2:$G$2)</f>
        <v/>
      </c>
      <c r="R10" s="10" t="inlineStr">
        <is>
          <t>G</t>
        </is>
      </c>
      <c r="S10" s="2" t="n">
        <v>2</v>
      </c>
      <c r="T10" s="2" t="n">
        <v>1</v>
      </c>
      <c r="U10" s="2" t="n">
        <v>3</v>
      </c>
      <c r="V10" s="2" t="n">
        <v>3</v>
      </c>
      <c r="W10" s="2" t="n">
        <v>3</v>
      </c>
      <c r="X10" s="6" t="n">
        <v>0</v>
      </c>
    </row>
    <row r="12">
      <c r="B12" s="62" t="inlineStr">
        <is>
          <t>Rank</t>
        </is>
      </c>
      <c r="C12" s="65" t="inlineStr">
        <is>
          <t>Environmental Risk</t>
        </is>
      </c>
      <c r="D12" s="63" t="inlineStr">
        <is>
          <t>Social Risk</t>
        </is>
      </c>
      <c r="E12" s="63" t="inlineStr">
        <is>
          <t>Cost Score</t>
        </is>
      </c>
      <c r="F12" s="63" t="inlineStr">
        <is>
          <t>Strategic Importance</t>
        </is>
      </c>
      <c r="G12" s="70" t="inlineStr">
        <is>
          <t>Improvement Potential</t>
        </is>
      </c>
      <c r="J12" s="19" t="inlineStr">
        <is>
          <t>Q1</t>
        </is>
      </c>
      <c r="K12" s="21" t="inlineStr">
        <is>
          <t>Q2</t>
        </is>
      </c>
      <c r="L12" s="20" t="inlineStr">
        <is>
          <t>Q3</t>
        </is>
      </c>
    </row>
    <row r="13" ht="34.95" customHeight="1" s="60">
      <c r="B13" s="58" t="n"/>
      <c r="C13" s="66" t="n"/>
      <c r="D13" s="64" t="n"/>
      <c r="E13" s="64" t="n"/>
      <c r="F13" s="64" t="n"/>
      <c r="G13" s="71" t="n"/>
      <c r="J13" s="19" t="inlineStr">
        <is>
          <t>Min Cost + Enve&amp;Social Risk</t>
        </is>
      </c>
      <c r="K13" s="22" t="inlineStr">
        <is>
          <t>Min Cost + Max Improvement</t>
        </is>
      </c>
      <c r="L13" s="17" t="inlineStr">
        <is>
          <t>Min Cost/No Quality Issues</t>
        </is>
      </c>
      <c r="R13" s="44" t="inlineStr">
        <is>
          <t>Policy</t>
        </is>
      </c>
      <c r="S13" s="48" t="n">
        <v>1</v>
      </c>
      <c r="T13" s="48" t="n">
        <v>1</v>
      </c>
      <c r="U13" s="48" t="n">
        <v>1</v>
      </c>
      <c r="V13" s="48" t="n">
        <v>1</v>
      </c>
      <c r="W13" s="48" t="n">
        <v>1</v>
      </c>
      <c r="X13" s="49" t="n">
        <v>1</v>
      </c>
    </row>
    <row r="14">
      <c r="B14" s="62" t="inlineStr">
        <is>
          <t>Supplier 1</t>
        </is>
      </c>
      <c r="C14" s="2">
        <f t="array" ref="C14:C20">_xlfn.SORTBY($B$4:$B$10, C4:C10, 1)</f>
        <v/>
      </c>
      <c r="D14" s="2">
        <f t="array" ref="D14:D20">_xlfn.SORTBY(B4:B10,D4:D10)</f>
        <v/>
      </c>
      <c r="E14" s="2">
        <f t="array" ref="E14:E20">_xlfn.SORTBY(B4:B10,E4:E10)</f>
        <v/>
      </c>
      <c r="F14" s="2">
        <f t="array" ref="F14:F20">_xlfn.SORTBY(B4:B10,F4:F10)</f>
        <v/>
      </c>
      <c r="G14" s="2">
        <f t="array" ref="G14:G20">_xlfn.SORTBY(B4:B10,G4:G10)</f>
        <v/>
      </c>
      <c r="J14" s="11">
        <f t="array" ref="J14:J20">_xlfn.SORTBY(B4:B10,L4:L10)</f>
        <v/>
      </c>
      <c r="K14" s="38">
        <f t="array" ref="K14:K20">_xlfn.SORTBY(B4:B10,M4:M10)</f>
        <v/>
      </c>
      <c r="L14" s="37" t="inlineStr">
        <is>
          <t>A</t>
        </is>
      </c>
      <c r="Q14" s="8" t="n"/>
    </row>
    <row r="15">
      <c r="B15" s="62" t="inlineStr">
        <is>
          <t>Supplier 2</t>
        </is>
      </c>
      <c r="C15" s="2" t="inlineStr">
        <is>
          <t>C</t>
        </is>
      </c>
      <c r="D15" s="2" t="inlineStr">
        <is>
          <t>G</t>
        </is>
      </c>
      <c r="E15" s="2" t="inlineStr">
        <is>
          <t>B</t>
        </is>
      </c>
      <c r="F15" s="2" t="inlineStr">
        <is>
          <t>D</t>
        </is>
      </c>
      <c r="G15" s="2" t="inlineStr">
        <is>
          <t>B</t>
        </is>
      </c>
      <c r="J15" s="36" t="inlineStr">
        <is>
          <t>G</t>
        </is>
      </c>
      <c r="K15" s="31" t="inlineStr">
        <is>
          <t>D</t>
        </is>
      </c>
      <c r="L15" s="32" t="inlineStr">
        <is>
          <t>B</t>
        </is>
      </c>
      <c r="M15" s="28" t="inlineStr">
        <is>
          <t>quality issues</t>
        </is>
      </c>
      <c r="Q15" s="8" t="n"/>
      <c r="R15" s="8" t="n"/>
    </row>
    <row r="16">
      <c r="B16" s="62" t="inlineStr">
        <is>
          <t>Supplier 3</t>
        </is>
      </c>
      <c r="C16" s="2" t="inlineStr">
        <is>
          <t>D</t>
        </is>
      </c>
      <c r="D16" s="2" t="inlineStr">
        <is>
          <t>D</t>
        </is>
      </c>
      <c r="E16" s="2" t="inlineStr">
        <is>
          <t>F</t>
        </is>
      </c>
      <c r="F16" s="2" t="inlineStr">
        <is>
          <t>E</t>
        </is>
      </c>
      <c r="G16" s="2" t="inlineStr">
        <is>
          <t>C</t>
        </is>
      </c>
      <c r="J16" s="24" t="inlineStr">
        <is>
          <t>A</t>
        </is>
      </c>
      <c r="K16" s="1" t="inlineStr">
        <is>
          <t>G</t>
        </is>
      </c>
      <c r="L16" s="37" t="inlineStr">
        <is>
          <t>F</t>
        </is>
      </c>
      <c r="Q16" s="8" t="n"/>
      <c r="R16" s="8" t="n"/>
    </row>
    <row r="17">
      <c r="A17" s="5" t="n"/>
      <c r="B17" s="62" t="inlineStr">
        <is>
          <t>Supplier 4</t>
        </is>
      </c>
      <c r="C17" s="2" t="inlineStr">
        <is>
          <t>G</t>
        </is>
      </c>
      <c r="D17" s="2" t="inlineStr">
        <is>
          <t>A</t>
        </is>
      </c>
      <c r="E17" s="2" t="inlineStr">
        <is>
          <t>C</t>
        </is>
      </c>
      <c r="F17" s="2" t="inlineStr">
        <is>
          <t>A</t>
        </is>
      </c>
      <c r="G17" s="2" t="inlineStr">
        <is>
          <t>G</t>
        </is>
      </c>
      <c r="J17" s="27" t="inlineStr">
        <is>
          <t>D</t>
        </is>
      </c>
      <c r="K17" s="25" t="inlineStr">
        <is>
          <t>A</t>
        </is>
      </c>
      <c r="L17" s="25" t="inlineStr">
        <is>
          <t>C</t>
        </is>
      </c>
      <c r="Q17" s="8" t="n"/>
      <c r="R17" s="8" t="n"/>
    </row>
    <row r="18">
      <c r="A18" s="5" t="n"/>
      <c r="B18" s="62" t="inlineStr">
        <is>
          <t>Supplier 5</t>
        </is>
      </c>
      <c r="C18" s="2" t="inlineStr">
        <is>
          <t>B</t>
        </is>
      </c>
      <c r="D18" s="2" t="inlineStr">
        <is>
          <t>E</t>
        </is>
      </c>
      <c r="E18" s="2" t="inlineStr">
        <is>
          <t>E</t>
        </is>
      </c>
      <c r="F18" s="2" t="inlineStr">
        <is>
          <t>B</t>
        </is>
      </c>
      <c r="G18" s="2" t="inlineStr">
        <is>
          <t>A</t>
        </is>
      </c>
      <c r="J18" s="30" t="inlineStr">
        <is>
          <t>B</t>
        </is>
      </c>
      <c r="K18" s="29" t="inlineStr">
        <is>
          <t>B</t>
        </is>
      </c>
      <c r="L18" s="32" t="inlineStr">
        <is>
          <t>E</t>
        </is>
      </c>
      <c r="M18" s="28" t="inlineStr">
        <is>
          <t>quality issues</t>
        </is>
      </c>
    </row>
    <row r="19">
      <c r="A19" s="5" t="n"/>
      <c r="B19" s="62" t="inlineStr">
        <is>
          <t>Supplier 6</t>
        </is>
      </c>
      <c r="C19" s="2" t="inlineStr">
        <is>
          <t>E</t>
        </is>
      </c>
      <c r="D19" s="2" t="inlineStr">
        <is>
          <t>F</t>
        </is>
      </c>
      <c r="E19" s="2" t="inlineStr">
        <is>
          <t>G</t>
        </is>
      </c>
      <c r="F19" s="2" t="inlineStr">
        <is>
          <t>G</t>
        </is>
      </c>
      <c r="G19" s="2" t="inlineStr">
        <is>
          <t>F</t>
        </is>
      </c>
      <c r="J19" s="30" t="inlineStr">
        <is>
          <t>E</t>
        </is>
      </c>
      <c r="K19" s="29" t="inlineStr">
        <is>
          <t>E</t>
        </is>
      </c>
      <c r="L19" s="23" t="inlineStr">
        <is>
          <t>G</t>
        </is>
      </c>
    </row>
    <row r="20">
      <c r="B20" s="62" t="inlineStr">
        <is>
          <t>Supplier 7</t>
        </is>
      </c>
      <c r="C20" s="2" t="inlineStr">
        <is>
          <t>F</t>
        </is>
      </c>
      <c r="D20" s="2" t="inlineStr">
        <is>
          <t>B</t>
        </is>
      </c>
      <c r="E20" s="2" t="inlineStr">
        <is>
          <t>D</t>
        </is>
      </c>
      <c r="F20" s="2" t="inlineStr">
        <is>
          <t>F</t>
        </is>
      </c>
      <c r="G20" s="2" t="inlineStr">
        <is>
          <t>E</t>
        </is>
      </c>
      <c r="J20" s="24" t="inlineStr">
        <is>
          <t>F</t>
        </is>
      </c>
      <c r="K20" s="25" t="inlineStr">
        <is>
          <t>F</t>
        </is>
      </c>
      <c r="L20" s="23" t="inlineStr">
        <is>
          <t>D</t>
        </is>
      </c>
    </row>
    <row r="21">
      <c r="I21" s="39" t="inlineStr">
        <is>
          <t>Selected Ones</t>
        </is>
      </c>
      <c r="J21" s="40" t="inlineStr">
        <is>
          <t>C &amp; G</t>
        </is>
      </c>
      <c r="K21" s="40" t="inlineStr">
        <is>
          <t>C &amp; D</t>
        </is>
      </c>
      <c r="L21" s="40" t="inlineStr">
        <is>
          <t>A &amp; F</t>
        </is>
      </c>
    </row>
    <row r="24" ht="41.4" customHeight="1" s="60">
      <c r="B24" s="42" t="inlineStr">
        <is>
          <t>Users</t>
        </is>
      </c>
      <c r="C24" s="57" t="inlineStr">
        <is>
          <t>Environmental Risk</t>
        </is>
      </c>
      <c r="D24" s="57" t="inlineStr">
        <is>
          <t>Social Risk</t>
        </is>
      </c>
      <c r="E24" s="57" t="inlineStr">
        <is>
          <t>Cost Score</t>
        </is>
      </c>
      <c r="F24" s="57" t="inlineStr">
        <is>
          <t>Strategic Importance</t>
        </is>
      </c>
      <c r="G24" s="57" t="inlineStr">
        <is>
          <t>Improvement Potential</t>
        </is>
      </c>
      <c r="H24" s="17" t="inlineStr">
        <is>
          <t>Low Product Quality</t>
        </is>
      </c>
      <c r="I24" s="57" t="inlineStr">
        <is>
          <t>Utility Function</t>
        </is>
      </c>
    </row>
    <row r="25">
      <c r="B25" s="43" t="n">
        <v>1</v>
      </c>
      <c r="C25" s="2" t="n">
        <v>0.3</v>
      </c>
      <c r="D25" s="2" t="n">
        <v>0.2</v>
      </c>
      <c r="E25" s="2" t="n">
        <v>0.4</v>
      </c>
      <c r="F25" s="2" t="n">
        <v>0.1</v>
      </c>
      <c r="G25" s="2" t="n">
        <v>0.1</v>
      </c>
      <c r="H25" s="6" t="n">
        <v>0.2</v>
      </c>
      <c r="I25" s="1">
        <f>C25&amp;"x1+ "&amp;D25&amp;"x2+ "&amp;E25&amp;"x3+ "&amp;F25&amp;"x4+ "&amp;G25&amp;"x5+ -"&amp;H25&amp;"x6"</f>
        <v/>
      </c>
    </row>
    <row r="26">
      <c r="B26" s="43" t="n">
        <v>2</v>
      </c>
      <c r="C26" s="2" t="n">
        <v>0.25</v>
      </c>
      <c r="D26" s="2" t="n">
        <v>0.15</v>
      </c>
      <c r="E26" s="2" t="n">
        <v>0.1</v>
      </c>
      <c r="F26" s="2" t="n">
        <v>0.1</v>
      </c>
      <c r="G26" s="2" t="n">
        <v>0.1</v>
      </c>
      <c r="H26" s="6" t="n">
        <v>0.3</v>
      </c>
      <c r="I26" s="1">
        <f>C26&amp;"x1+ "&amp;D26&amp;"x2+ "&amp;E26&amp;"x3+ "&amp;F26&amp;"x4+ "&amp;G26&amp;"x5+ -"&amp;H26&amp;"x6"</f>
        <v/>
      </c>
    </row>
    <row r="27">
      <c r="B27" s="43" t="n">
        <v>3</v>
      </c>
      <c r="C27" s="2" t="n">
        <v>0.15</v>
      </c>
      <c r="D27" s="2" t="n">
        <v>0.3</v>
      </c>
      <c r="E27" s="2" t="n">
        <v>0.1</v>
      </c>
      <c r="F27" s="2" t="n">
        <v>0.1</v>
      </c>
      <c r="G27" s="2" t="n">
        <v>0.15</v>
      </c>
      <c r="H27" s="6" t="n">
        <v>0.2</v>
      </c>
      <c r="I27" s="1">
        <f>C27&amp;"x1+ "&amp;D27&amp;"x2+ "&amp;E27&amp;"x3+ "&amp;F27&amp;"x4+ "&amp;G27&amp;"x5+ -"&amp;H27&amp;"x6"</f>
        <v/>
      </c>
    </row>
    <row r="28">
      <c r="B28" s="43" t="n">
        <v>4</v>
      </c>
      <c r="C28" s="2" t="n">
        <v>0.1</v>
      </c>
      <c r="D28" s="2" t="n">
        <v>0.1</v>
      </c>
      <c r="E28" s="2" t="n">
        <v>0.4</v>
      </c>
      <c r="F28" s="2" t="n">
        <v>0.15</v>
      </c>
      <c r="G28" s="2" t="n">
        <v>0.1</v>
      </c>
      <c r="H28" s="6" t="n">
        <v>0.15</v>
      </c>
      <c r="I28" s="1">
        <f>C28&amp;"x1+ "&amp;D28&amp;"x2+ "&amp;E28&amp;"x3+ "&amp;F28&amp;"x4+ "&amp;G28&amp;"x5+ -"&amp;H28&amp;"x6"</f>
        <v/>
      </c>
    </row>
    <row r="29">
      <c r="B29" s="43" t="n">
        <v>5</v>
      </c>
      <c r="C29" s="2" t="n">
        <v>0.05</v>
      </c>
      <c r="D29" s="2" t="n">
        <v>0.05</v>
      </c>
      <c r="E29" s="2" t="n">
        <v>0.5</v>
      </c>
      <c r="F29" s="2" t="n">
        <v>0.15</v>
      </c>
      <c r="G29" s="2" t="n">
        <v>0.1</v>
      </c>
      <c r="H29" s="6" t="n">
        <v>0.15</v>
      </c>
      <c r="I29" s="1">
        <f>C29&amp;"x1+ "&amp;D29&amp;"x2+ "&amp;E29&amp;"x3+ "&amp;F29&amp;"x4+ "&amp;G29&amp;"x5+ -"&amp;H29&amp;"x6"</f>
        <v/>
      </c>
    </row>
    <row r="30">
      <c r="B30" s="43" t="n">
        <v>6</v>
      </c>
      <c r="C30" s="2" t="n">
        <v>0.05</v>
      </c>
      <c r="D30" s="2" t="n">
        <v>0.1</v>
      </c>
      <c r="E30" s="2" t="n">
        <v>0.35</v>
      </c>
      <c r="F30" s="2" t="n">
        <v>0.15</v>
      </c>
      <c r="G30" s="2" t="n">
        <v>0.1</v>
      </c>
      <c r="H30" s="6" t="n">
        <v>0.25</v>
      </c>
      <c r="I30" s="1">
        <f>C30&amp;"x1+ "&amp;D30&amp;"x2+ "&amp;E30&amp;"x3+ "&amp;F30&amp;"x4+ "&amp;G30&amp;"x5+ -"&amp;H30&amp;"x6"</f>
        <v/>
      </c>
    </row>
    <row r="31">
      <c r="B31" s="43" t="n">
        <v>7</v>
      </c>
      <c r="C31" s="2" t="n">
        <v>0.1</v>
      </c>
      <c r="D31" s="2" t="n">
        <v>0.1</v>
      </c>
      <c r="E31" s="2" t="n">
        <v>0.15</v>
      </c>
      <c r="F31" s="2" t="n">
        <v>0.35</v>
      </c>
      <c r="G31" s="2" t="n">
        <v>0.2</v>
      </c>
      <c r="H31" s="6" t="n">
        <v>0.1</v>
      </c>
      <c r="I31" s="1">
        <f>C31&amp;"x1+ "&amp;D31&amp;"x2+ "&amp;E31&amp;"x3+ "&amp;F31&amp;"x4+ "&amp;G31&amp;"x5+ -"&amp;H31&amp;"x6"</f>
        <v/>
      </c>
    </row>
    <row r="32">
      <c r="B32" s="41" t="n">
        <v>8</v>
      </c>
      <c r="C32" s="2" t="n">
        <v>0.1</v>
      </c>
      <c r="D32" s="2" t="n">
        <v>0.1</v>
      </c>
      <c r="E32" s="2" t="n">
        <v>0.65</v>
      </c>
      <c r="F32" s="2" t="n">
        <v>0.25</v>
      </c>
      <c r="G32" s="2" t="n">
        <v>0.3</v>
      </c>
      <c r="H32" s="6" t="n">
        <v>0.1</v>
      </c>
      <c r="I32" s="1">
        <f>C32&amp;"x1+ "&amp;D32&amp;"x2+ "&amp;E32&amp;"x3+ "&amp;F32&amp;"x4+ "&amp;G32&amp;"x5+ -"&amp;H32&amp;"x6"</f>
        <v/>
      </c>
    </row>
    <row r="33">
      <c r="B33" s="41" t="n">
        <v>9</v>
      </c>
      <c r="C33" s="2" t="n">
        <v>0.2</v>
      </c>
      <c r="D33" s="2" t="n">
        <v>0.15</v>
      </c>
      <c r="E33" s="2" t="n">
        <v>0.2</v>
      </c>
      <c r="F33" s="2" t="n">
        <v>0.15</v>
      </c>
      <c r="G33" s="2" t="n">
        <v>0.1</v>
      </c>
      <c r="H33" s="6" t="n">
        <v>0.2</v>
      </c>
      <c r="I33" s="1">
        <f>C33&amp;"x1+ "&amp;D33&amp;"x2+ "&amp;E33&amp;"x3+ "&amp;F33&amp;"x4+ "&amp;G33&amp;"x5+ -"&amp;H33&amp;"x6"</f>
        <v/>
      </c>
    </row>
    <row r="34">
      <c r="B34" s="41" t="n">
        <v>10</v>
      </c>
      <c r="C34" s="2" t="n">
        <v>0.15</v>
      </c>
      <c r="D34" s="2" t="n">
        <v>0.15</v>
      </c>
      <c r="E34" s="2" t="n">
        <v>0.15</v>
      </c>
      <c r="F34" s="2" t="n">
        <v>0.15</v>
      </c>
      <c r="G34" s="2" t="n">
        <v>0.1</v>
      </c>
      <c r="H34" s="6" t="n">
        <v>0.3</v>
      </c>
      <c r="I34" s="1">
        <f>C34&amp;"x1+ "&amp;D34&amp;"x2+ "&amp;E34&amp;"x3+ "&amp;F34&amp;"x4+ "&amp;G34&amp;"x5+ -"&amp;H34&amp;"x6"</f>
        <v/>
      </c>
    </row>
    <row r="36" ht="57" customHeight="1" s="60">
      <c r="B36" s="47" t="inlineStr">
        <is>
          <t>Supplier/User</t>
        </is>
      </c>
      <c r="C36" s="46" t="n">
        <v>1</v>
      </c>
      <c r="D36" s="46" t="n">
        <v>2</v>
      </c>
      <c r="E36" s="46" t="n">
        <v>3</v>
      </c>
      <c r="F36" s="46" t="n">
        <v>4</v>
      </c>
      <c r="G36" s="46" t="n">
        <v>5</v>
      </c>
      <c r="H36" s="46" t="n">
        <v>6</v>
      </c>
      <c r="I36" s="46" t="n">
        <v>7</v>
      </c>
      <c r="J36" s="46" t="n">
        <v>8</v>
      </c>
      <c r="K36" s="46" t="n">
        <v>9</v>
      </c>
      <c r="L36" s="46" t="n">
        <v>10</v>
      </c>
    </row>
    <row r="37">
      <c r="B37" s="10" t="inlineStr">
        <is>
          <t>A</t>
        </is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/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/>
      </c>
      <c r="E37">
        <f>_xlfn.IFNA(
SUMPRODUCT(
_xlfn.XLOOKUP(TRIM($B37), $R$4:$R$10, $S$4:$W$10),
_xlfn.XLOOKUP(--TRIM(E$36), $B$25:$B$34, $C$25:$G$34)
)
- _xlfn.XLOOKUP(TRIM($B37), $R$4:$R$10, $X$4:$X$10)
* _xlfn.XLOOKUP(--TRIM(E$36), $B$25:$B$34, $H$25:$H$34), ""
)</f>
        <v/>
      </c>
      <c r="F37">
        <f>_xlfn.IFNA(
SUMPRODUCT(
_xlfn.XLOOKUP(TRIM($B37), $R$4:$R$10, $S$4:$W$10),
_xlfn.XLOOKUP(--TRIM(F$36), $B$25:$B$34, $C$25:$G$34)
)
- _xlfn.XLOOKUP(TRIM($B37), $R$4:$R$10, $X$4:$X$10)
* _xlfn.XLOOKUP(--TRIM(F$36), $B$25:$B$34, $H$25:$H$34), ""
)</f>
        <v/>
      </c>
      <c r="G37">
        <f>_xlfn.IFNA(
SUMPRODUCT(
_xlfn.XLOOKUP(TRIM($B37), $R$4:$R$10, $S$4:$W$10),
_xlfn.XLOOKUP(--TRIM(G$36), $B$25:$B$34, $C$25:$G$34)
)
- _xlfn.XLOOKUP(TRIM($B37), $R$4:$R$10, $X$4:$X$10)
* _xlfn.XLOOKUP(--TRIM(G$36), $B$25:$B$34, $H$25:$H$34), ""
)</f>
        <v/>
      </c>
      <c r="H37">
        <f>_xlfn.IFNA(
SUMPRODUCT(
_xlfn.XLOOKUP(TRIM($B37), $R$4:$R$10, $S$4:$W$10),
_xlfn.XLOOKUP(--TRIM(H$36), $B$25:$B$34, $C$25:$G$34)
)
- _xlfn.XLOOKUP(TRIM($B37), $R$4:$R$10, $X$4:$X$10)
* _xlfn.XLOOKUP(--TRIM(H$36), $B$25:$B$34, $H$25:$H$34), ""
)</f>
        <v/>
      </c>
      <c r="I37">
        <f>_xlfn.IFNA(
SUMPRODUCT(
_xlfn.XLOOKUP(TRIM($B37), $R$4:$R$10, $S$4:$W$10),
_xlfn.XLOOKUP(--TRIM(I$36), $B$25:$B$34, $C$25:$G$34)
)
- _xlfn.XLOOKUP(TRIM($B37), $R$4:$R$10, $X$4:$X$10)
* _xlfn.XLOOKUP(--TRIM(I$36), $B$25:$B$34, $H$25:$H$34), ""
)</f>
        <v/>
      </c>
      <c r="J37">
        <f>_xlfn.IFNA(
SUMPRODUCT(
_xlfn.XLOOKUP(TRIM($B37), $R$4:$R$10, $S$4:$W$10),
_xlfn.XLOOKUP(--TRIM(J$36), $B$25:$B$34, $C$25:$G$34)
)
- _xlfn.XLOOKUP(TRIM($B37), $R$4:$R$10, $X$4:$X$10)
* _xlfn.XLOOKUP(--TRIM(J$36), $B$25:$B$34, $H$25:$H$34), ""
)</f>
        <v/>
      </c>
      <c r="K37">
        <f>_xlfn.IFNA(
SUMPRODUCT(
_xlfn.XLOOKUP(TRIM($B37), $R$4:$R$10, $S$4:$W$10),
_xlfn.XLOOKUP(--TRIM(K$36), $B$25:$B$34, $C$25:$G$34)
)
- _xlfn.XLOOKUP(TRIM($B37), $R$4:$R$10, $X$4:$X$10)
* _xlfn.XLOOKUP(--TRIM(K$36), $B$25:$B$34, $H$25:$H$34), ""
)</f>
        <v/>
      </c>
      <c r="L37">
        <f>_xlfn.IFNA(
SUMPRODUCT(
_xlfn.XLOOKUP(TRIM($B37), $R$4:$R$10, $S$4:$W$10),
_xlfn.XLOOKUP(--TRIM(L$36), $B$25:$B$34, $C$25:$G$34)
)
- _xlfn.XLOOKUP(TRIM($B37), $R$4:$R$10, $X$4:$X$10)
* _xlfn.XLOOKUP(--TRIM(L$36), $B$25:$B$34, $H$25:$H$34), ""
)</f>
        <v/>
      </c>
    </row>
    <row r="38">
      <c r="B38" s="10" t="inlineStr">
        <is>
          <t>B</t>
        </is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/>
      </c>
      <c r="D38">
        <f>_xlfn.IFNA(
SUMPRODUCT(
_xlfn.XLOOKUP(TRIM($B38), $R$4:$R$10, $S$4:$W$10),
_xlfn.XLOOKUP(--TRIM(D$36), $B$25:$B$34, $C$25:$G$34)
)
- _xlfn.XLOOKUP(TRIM($B38), $R$4:$R$10, $X$4:$X$10)
* _xlfn.XLOOKUP(--TRIM(D$36), $B$25:$B$34, $H$25:$H$34), ""
)</f>
        <v/>
      </c>
      <c r="E38">
        <f>_xlfn.IFNA(
SUMPRODUCT(
_xlfn.XLOOKUP(TRIM($B38), $R$4:$R$10, $S$4:$W$10),
_xlfn.XLOOKUP(--TRIM(E$36), $B$25:$B$34, $C$25:$G$34)
)
- _xlfn.XLOOKUP(TRIM($B38), $R$4:$R$10, $X$4:$X$10)
* _xlfn.XLOOKUP(--TRIM(E$36), $B$25:$B$34, $H$25:$H$34), ""
)</f>
        <v/>
      </c>
      <c r="F38">
        <f>_xlfn.IFNA(
SUMPRODUCT(
_xlfn.XLOOKUP(TRIM($B38), $R$4:$R$10, $S$4:$W$10),
_xlfn.XLOOKUP(--TRIM(F$36), $B$25:$B$34, $C$25:$G$34)
)
- _xlfn.XLOOKUP(TRIM($B38), $R$4:$R$10, $X$4:$X$10)
* _xlfn.XLOOKUP(--TRIM(F$36), $B$25:$B$34, $H$25:$H$34), ""
)</f>
        <v/>
      </c>
      <c r="G38">
        <f>_xlfn.IFNA(
SUMPRODUCT(
_xlfn.XLOOKUP(TRIM($B38), $R$4:$R$10, $S$4:$W$10),
_xlfn.XLOOKUP(--TRIM(G$36), $B$25:$B$34, $C$25:$G$34)
)
- _xlfn.XLOOKUP(TRIM($B38), $R$4:$R$10, $X$4:$X$10)
* _xlfn.XLOOKUP(--TRIM(G$36), $B$25:$B$34, $H$25:$H$34), ""
)</f>
        <v/>
      </c>
      <c r="H38">
        <f>_xlfn.IFNA(
SUMPRODUCT(
_xlfn.XLOOKUP(TRIM($B38), $R$4:$R$10, $S$4:$W$10),
_xlfn.XLOOKUP(--TRIM(H$36), $B$25:$B$34, $C$25:$G$34)
)
- _xlfn.XLOOKUP(TRIM($B38), $R$4:$R$10, $X$4:$X$10)
* _xlfn.XLOOKUP(--TRIM(H$36), $B$25:$B$34, $H$25:$H$34), ""
)</f>
        <v/>
      </c>
      <c r="I38">
        <f>_xlfn.IFNA(
SUMPRODUCT(
_xlfn.XLOOKUP(TRIM($B38), $R$4:$R$10, $S$4:$W$10),
_xlfn.XLOOKUP(--TRIM(I$36), $B$25:$B$34, $C$25:$G$34)
)
- _xlfn.XLOOKUP(TRIM($B38), $R$4:$R$10, $X$4:$X$10)
* _xlfn.XLOOKUP(--TRIM(I$36), $B$25:$B$34, $H$25:$H$34), ""
)</f>
        <v/>
      </c>
      <c r="J38">
        <f>_xlfn.IFNA(
SUMPRODUCT(
_xlfn.XLOOKUP(TRIM($B38), $R$4:$R$10, $S$4:$W$10),
_xlfn.XLOOKUP(--TRIM(J$36), $B$25:$B$34, $C$25:$G$34)
)
- _xlfn.XLOOKUP(TRIM($B38), $R$4:$R$10, $X$4:$X$10)
* _xlfn.XLOOKUP(--TRIM(J$36), $B$25:$B$34, $H$25:$H$34), ""
)</f>
        <v/>
      </c>
      <c r="K38">
        <f>_xlfn.IFNA(
SUMPRODUCT(
_xlfn.XLOOKUP(TRIM($B38), $R$4:$R$10, $S$4:$W$10),
_xlfn.XLOOKUP(--TRIM(K$36), $B$25:$B$34, $C$25:$G$34)
)
- _xlfn.XLOOKUP(TRIM($B38), $R$4:$R$10, $X$4:$X$10)
* _xlfn.XLOOKUP(--TRIM(K$36), $B$25:$B$34, $H$25:$H$34), ""
)</f>
        <v/>
      </c>
      <c r="L38">
        <f>_xlfn.IFNA(
SUMPRODUCT(
_xlfn.XLOOKUP(TRIM($B38), $R$4:$R$10, $S$4:$W$10),
_xlfn.XLOOKUP(--TRIM(L$36), $B$25:$B$34, $C$25:$G$34)
)
- _xlfn.XLOOKUP(TRIM($B38), $R$4:$R$10, $X$4:$X$10)
* _xlfn.XLOOKUP(--TRIM(L$36), $B$25:$B$34, $H$25:$H$34), ""
)</f>
        <v/>
      </c>
    </row>
    <row r="39">
      <c r="B39" s="10" t="inlineStr">
        <is>
          <t>C</t>
        </is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/>
      </c>
      <c r="D39">
        <f>_xlfn.IFNA(
SUMPRODUCT(
_xlfn.XLOOKUP(TRIM($B39), $R$4:$R$10, $S$4:$W$10),
_xlfn.XLOOKUP(--TRIM(D$36), $B$25:$B$34, $C$25:$G$34)
)
- _xlfn.XLOOKUP(TRIM($B39), $R$4:$R$10, $X$4:$X$10)
* _xlfn.XLOOKUP(--TRIM(D$36), $B$25:$B$34, $H$25:$H$34), ""
)</f>
        <v/>
      </c>
      <c r="E39">
        <f>_xlfn.IFNA(
SUMPRODUCT(
_xlfn.XLOOKUP(TRIM($B39), $R$4:$R$10, $S$4:$W$10),
_xlfn.XLOOKUP(--TRIM(E$36), $B$25:$B$34, $C$25:$G$34)
)
- _xlfn.XLOOKUP(TRIM($B39), $R$4:$R$10, $X$4:$X$10)
* _xlfn.XLOOKUP(--TRIM(E$36), $B$25:$B$34, $H$25:$H$34), ""
)</f>
        <v/>
      </c>
      <c r="F39">
        <f>_xlfn.IFNA(
SUMPRODUCT(
_xlfn.XLOOKUP(TRIM($B39), $R$4:$R$10, $S$4:$W$10),
_xlfn.XLOOKUP(--TRIM(F$36), $B$25:$B$34, $C$25:$G$34)
)
- _xlfn.XLOOKUP(TRIM($B39), $R$4:$R$10, $X$4:$X$10)
* _xlfn.XLOOKUP(--TRIM(F$36), $B$25:$B$34, $H$25:$H$34), ""
)</f>
        <v/>
      </c>
      <c r="G39">
        <f>_xlfn.IFNA(
SUMPRODUCT(
_xlfn.XLOOKUP(TRIM($B39), $R$4:$R$10, $S$4:$W$10),
_xlfn.XLOOKUP(--TRIM(G$36), $B$25:$B$34, $C$25:$G$34)
)
- _xlfn.XLOOKUP(TRIM($B39), $R$4:$R$10, $X$4:$X$10)
* _xlfn.XLOOKUP(--TRIM(G$36), $B$25:$B$34, $H$25:$H$34), ""
)</f>
        <v/>
      </c>
      <c r="H39">
        <f>_xlfn.IFNA(
SUMPRODUCT(
_xlfn.XLOOKUP(TRIM($B39), $R$4:$R$10, $S$4:$W$10),
_xlfn.XLOOKUP(--TRIM(H$36), $B$25:$B$34, $C$25:$G$34)
)
- _xlfn.XLOOKUP(TRIM($B39), $R$4:$R$10, $X$4:$X$10)
* _xlfn.XLOOKUP(--TRIM(H$36), $B$25:$B$34, $H$25:$H$34), ""
)</f>
        <v/>
      </c>
      <c r="I39">
        <f>_xlfn.IFNA(
SUMPRODUCT(
_xlfn.XLOOKUP(TRIM($B39), $R$4:$R$10, $S$4:$W$10),
_xlfn.XLOOKUP(--TRIM(I$36), $B$25:$B$34, $C$25:$G$34)
)
- _xlfn.XLOOKUP(TRIM($B39), $R$4:$R$10, $X$4:$X$10)
* _xlfn.XLOOKUP(--TRIM(I$36), $B$25:$B$34, $H$25:$H$34), ""
)</f>
        <v/>
      </c>
      <c r="J39">
        <f>_xlfn.IFNA(
SUMPRODUCT(
_xlfn.XLOOKUP(TRIM($B39), $R$4:$R$10, $S$4:$W$10),
_xlfn.XLOOKUP(--TRIM(J$36), $B$25:$B$34, $C$25:$G$34)
)
- _xlfn.XLOOKUP(TRIM($B39), $R$4:$R$10, $X$4:$X$10)
* _xlfn.XLOOKUP(--TRIM(J$36), $B$25:$B$34, $H$25:$H$34), ""
)</f>
        <v/>
      </c>
      <c r="K39">
        <f>_xlfn.IFNA(
SUMPRODUCT(
_xlfn.XLOOKUP(TRIM($B39), $R$4:$R$10, $S$4:$W$10),
_xlfn.XLOOKUP(--TRIM(K$36), $B$25:$B$34, $C$25:$G$34)
)
- _xlfn.XLOOKUP(TRIM($B39), $R$4:$R$10, $X$4:$X$10)
* _xlfn.XLOOKUP(--TRIM(K$36), $B$25:$B$34, $H$25:$H$34), ""
)</f>
        <v/>
      </c>
      <c r="L39">
        <f>_xlfn.IFNA(
SUMPRODUCT(
_xlfn.XLOOKUP(TRIM($B39), $R$4:$R$10, $S$4:$W$10),
_xlfn.XLOOKUP(--TRIM(L$36), $B$25:$B$34, $C$25:$G$34)
)
- _xlfn.XLOOKUP(TRIM($B39), $R$4:$R$10, $X$4:$X$10)
* _xlfn.XLOOKUP(--TRIM(L$36), $B$25:$B$34, $H$25:$H$34), ""
)</f>
        <v/>
      </c>
    </row>
    <row r="40">
      <c r="B40" s="10" t="inlineStr">
        <is>
          <t>D</t>
        </is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/>
      </c>
      <c r="D40">
        <f>_xlfn.IFNA(
SUMPRODUCT(
_xlfn.XLOOKUP(TRIM($B40), $R$4:$R$10, $S$4:$W$10),
_xlfn.XLOOKUP(--TRIM(D$36), $B$25:$B$34, $C$25:$G$34)
)
- _xlfn.XLOOKUP(TRIM($B40), $R$4:$R$10, $X$4:$X$10)
* _xlfn.XLOOKUP(--TRIM(D$36), $B$25:$B$34, $H$25:$H$34), ""
)</f>
        <v/>
      </c>
      <c r="E40">
        <f>_xlfn.IFNA(
SUMPRODUCT(
_xlfn.XLOOKUP(TRIM($B40), $R$4:$R$10, $S$4:$W$10),
_xlfn.XLOOKUP(--TRIM(E$36), $B$25:$B$34, $C$25:$G$34)
)
- _xlfn.XLOOKUP(TRIM($B40), $R$4:$R$10, $X$4:$X$10)
* _xlfn.XLOOKUP(--TRIM(E$36), $B$25:$B$34, $H$25:$H$34), ""
)</f>
        <v/>
      </c>
      <c r="F40">
        <f>_xlfn.IFNA(
SUMPRODUCT(
_xlfn.XLOOKUP(TRIM($B40), $R$4:$R$10, $S$4:$W$10),
_xlfn.XLOOKUP(--TRIM(F$36), $B$25:$B$34, $C$25:$G$34)
)
- _xlfn.XLOOKUP(TRIM($B40), $R$4:$R$10, $X$4:$X$10)
* _xlfn.XLOOKUP(--TRIM(F$36), $B$25:$B$34, $H$25:$H$34), ""
)</f>
        <v/>
      </c>
      <c r="G40">
        <f>_xlfn.IFNA(
SUMPRODUCT(
_xlfn.XLOOKUP(TRIM($B40), $R$4:$R$10, $S$4:$W$10),
_xlfn.XLOOKUP(--TRIM(G$36), $B$25:$B$34, $C$25:$G$34)
)
- _xlfn.XLOOKUP(TRIM($B40), $R$4:$R$10, $X$4:$X$10)
* _xlfn.XLOOKUP(--TRIM(G$36), $B$25:$B$34, $H$25:$H$34), ""
)</f>
        <v/>
      </c>
      <c r="H40">
        <f>_xlfn.IFNA(
SUMPRODUCT(
_xlfn.XLOOKUP(TRIM($B40), $R$4:$R$10, $S$4:$W$10),
_xlfn.XLOOKUP(--TRIM(H$36), $B$25:$B$34, $C$25:$G$34)
)
- _xlfn.XLOOKUP(TRIM($B40), $R$4:$R$10, $X$4:$X$10)
* _xlfn.XLOOKUP(--TRIM(H$36), $B$25:$B$34, $H$25:$H$34), ""
)</f>
        <v/>
      </c>
      <c r="I40">
        <f>_xlfn.IFNA(
SUMPRODUCT(
_xlfn.XLOOKUP(TRIM($B40), $R$4:$R$10, $S$4:$W$10),
_xlfn.XLOOKUP(--TRIM(I$36), $B$25:$B$34, $C$25:$G$34)
)
- _xlfn.XLOOKUP(TRIM($B40), $R$4:$R$10, $X$4:$X$10)
* _xlfn.XLOOKUP(--TRIM(I$36), $B$25:$B$34, $H$25:$H$34), ""
)</f>
        <v/>
      </c>
      <c r="J40">
        <f>_xlfn.IFNA(
SUMPRODUCT(
_xlfn.XLOOKUP(TRIM($B40), $R$4:$R$10, $S$4:$W$10),
_xlfn.XLOOKUP(--TRIM(J$36), $B$25:$B$34, $C$25:$G$34)
)
- _xlfn.XLOOKUP(TRIM($B40), $R$4:$R$10, $X$4:$X$10)
* _xlfn.XLOOKUP(--TRIM(J$36), $B$25:$B$34, $H$25:$H$34), ""
)</f>
        <v/>
      </c>
      <c r="K40">
        <f>_xlfn.IFNA(
SUMPRODUCT(
_xlfn.XLOOKUP(TRIM($B40), $R$4:$R$10, $S$4:$W$10),
_xlfn.XLOOKUP(--TRIM(K$36), $B$25:$B$34, $C$25:$G$34)
)
- _xlfn.XLOOKUP(TRIM($B40), $R$4:$R$10, $X$4:$X$10)
* _xlfn.XLOOKUP(--TRIM(K$36), $B$25:$B$34, $H$25:$H$34), ""
)</f>
        <v/>
      </c>
      <c r="L40">
        <f>_xlfn.IFNA(
SUMPRODUCT(
_xlfn.XLOOKUP(TRIM($B40), $R$4:$R$10, $S$4:$W$10),
_xlfn.XLOOKUP(--TRIM(L$36), $B$25:$B$34, $C$25:$G$34)
)
- _xlfn.XLOOKUP(TRIM($B40), $R$4:$R$10, $X$4:$X$10)
* _xlfn.XLOOKUP(--TRIM(L$36), $B$25:$B$34, $H$25:$H$34), ""
)</f>
        <v/>
      </c>
    </row>
    <row r="41">
      <c r="B41" s="10" t="inlineStr">
        <is>
          <t>E</t>
        </is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/>
      </c>
      <c r="D41">
        <f>_xlfn.IFNA(
SUMPRODUCT(
_xlfn.XLOOKUP(TRIM($B41), $R$4:$R$10, $S$4:$W$10),
_xlfn.XLOOKUP(--TRIM(D$36), $B$25:$B$34, $C$25:$G$34)
)
- _xlfn.XLOOKUP(TRIM($B41), $R$4:$R$10, $X$4:$X$10)
* _xlfn.XLOOKUP(--TRIM(D$36), $B$25:$B$34, $H$25:$H$34), ""
)</f>
        <v/>
      </c>
      <c r="E41">
        <f>_xlfn.IFNA(
SUMPRODUCT(
_xlfn.XLOOKUP(TRIM($B41), $R$4:$R$10, $S$4:$W$10),
_xlfn.XLOOKUP(--TRIM(E$36), $B$25:$B$34, $C$25:$G$34)
)
- _xlfn.XLOOKUP(TRIM($B41), $R$4:$R$10, $X$4:$X$10)
* _xlfn.XLOOKUP(--TRIM(E$36), $B$25:$B$34, $H$25:$H$34), ""
)</f>
        <v/>
      </c>
      <c r="F41">
        <f>_xlfn.IFNA(
SUMPRODUCT(
_xlfn.XLOOKUP(TRIM($B41), $R$4:$R$10, $S$4:$W$10),
_xlfn.XLOOKUP(--TRIM(F$36), $B$25:$B$34, $C$25:$G$34)
)
- _xlfn.XLOOKUP(TRIM($B41), $R$4:$R$10, $X$4:$X$10)
* _xlfn.XLOOKUP(--TRIM(F$36), $B$25:$B$34, $H$25:$H$34), ""
)</f>
        <v/>
      </c>
      <c r="G41">
        <f>_xlfn.IFNA(
SUMPRODUCT(
_xlfn.XLOOKUP(TRIM($B41), $R$4:$R$10, $S$4:$W$10),
_xlfn.XLOOKUP(--TRIM(G$36), $B$25:$B$34, $C$25:$G$34)
)
- _xlfn.XLOOKUP(TRIM($B41), $R$4:$R$10, $X$4:$X$10)
* _xlfn.XLOOKUP(--TRIM(G$36), $B$25:$B$34, $H$25:$H$34), ""
)</f>
        <v/>
      </c>
      <c r="H41">
        <f>_xlfn.IFNA(
SUMPRODUCT(
_xlfn.XLOOKUP(TRIM($B41), $R$4:$R$10, $S$4:$W$10),
_xlfn.XLOOKUP(--TRIM(H$36), $B$25:$B$34, $C$25:$G$34)
)
- _xlfn.XLOOKUP(TRIM($B41), $R$4:$R$10, $X$4:$X$10)
* _xlfn.XLOOKUP(--TRIM(H$36), $B$25:$B$34, $H$25:$H$34), ""
)</f>
        <v/>
      </c>
      <c r="I41">
        <f>_xlfn.IFNA(
SUMPRODUCT(
_xlfn.XLOOKUP(TRIM($B41), $R$4:$R$10, $S$4:$W$10),
_xlfn.XLOOKUP(--TRIM(I$36), $B$25:$B$34, $C$25:$G$34)
)
- _xlfn.XLOOKUP(TRIM($B41), $R$4:$R$10, $X$4:$X$10)
* _xlfn.XLOOKUP(--TRIM(I$36), $B$25:$B$34, $H$25:$H$34), ""
)</f>
        <v/>
      </c>
      <c r="J41">
        <f>_xlfn.IFNA(
SUMPRODUCT(
_xlfn.XLOOKUP(TRIM($B41), $R$4:$R$10, $S$4:$W$10),
_xlfn.XLOOKUP(--TRIM(J$36), $B$25:$B$34, $C$25:$G$34)
)
- _xlfn.XLOOKUP(TRIM($B41), $R$4:$R$10, $X$4:$X$10)
* _xlfn.XLOOKUP(--TRIM(J$36), $B$25:$B$34, $H$25:$H$34), ""
)</f>
        <v/>
      </c>
      <c r="K41">
        <f>_xlfn.IFNA(
SUMPRODUCT(
_xlfn.XLOOKUP(TRIM($B41), $R$4:$R$10, $S$4:$W$10),
_xlfn.XLOOKUP(--TRIM(K$36), $B$25:$B$34, $C$25:$G$34)
)
- _xlfn.XLOOKUP(TRIM($B41), $R$4:$R$10, $X$4:$X$10)
* _xlfn.XLOOKUP(--TRIM(K$36), $B$25:$B$34, $H$25:$H$34), ""
)</f>
        <v/>
      </c>
      <c r="L41">
        <f>_xlfn.IFNA(
SUMPRODUCT(
_xlfn.XLOOKUP(TRIM($B41), $R$4:$R$10, $S$4:$W$10),
_xlfn.XLOOKUP(--TRIM(L$36), $B$25:$B$34, $C$25:$G$34)
)
- _xlfn.XLOOKUP(TRIM($B41), $R$4:$R$10, $X$4:$X$10)
* _xlfn.XLOOKUP(--TRIM(L$36), $B$25:$B$34, $H$25:$H$34), ""
)</f>
        <v/>
      </c>
    </row>
    <row r="42">
      <c r="B42" s="10" t="inlineStr">
        <is>
          <t>F</t>
        </is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/>
      </c>
      <c r="D42">
        <f>_xlfn.IFNA(
SUMPRODUCT(
_xlfn.XLOOKUP(TRIM($B42), $R$4:$R$10, $S$4:$W$10),
_xlfn.XLOOKUP(--TRIM(D$36), $B$25:$B$34, $C$25:$G$34)
)
- _xlfn.XLOOKUP(TRIM($B42), $R$4:$R$10, $X$4:$X$10)
* _xlfn.XLOOKUP(--TRIM(D$36), $B$25:$B$34, $H$25:$H$34), ""
)</f>
        <v/>
      </c>
      <c r="E42">
        <f>_xlfn.IFNA(
SUMPRODUCT(
_xlfn.XLOOKUP(TRIM($B42), $R$4:$R$10, $S$4:$W$10),
_xlfn.XLOOKUP(--TRIM(E$36), $B$25:$B$34, $C$25:$G$34)
)
- _xlfn.XLOOKUP(TRIM($B42), $R$4:$R$10, $X$4:$X$10)
* _xlfn.XLOOKUP(--TRIM(E$36), $B$25:$B$34, $H$25:$H$34), ""
)</f>
        <v/>
      </c>
      <c r="F42">
        <f>_xlfn.IFNA(
SUMPRODUCT(
_xlfn.XLOOKUP(TRIM($B42), $R$4:$R$10, $S$4:$W$10),
_xlfn.XLOOKUP(--TRIM(F$36), $B$25:$B$34, $C$25:$G$34)
)
- _xlfn.XLOOKUP(TRIM($B42), $R$4:$R$10, $X$4:$X$10)
* _xlfn.XLOOKUP(--TRIM(F$36), $B$25:$B$34, $H$25:$H$34), ""
)</f>
        <v/>
      </c>
      <c r="G42">
        <f>_xlfn.IFNA(
SUMPRODUCT(
_xlfn.XLOOKUP(TRIM($B42), $R$4:$R$10, $S$4:$W$10),
_xlfn.XLOOKUP(--TRIM(G$36), $B$25:$B$34, $C$25:$G$34)
)
- _xlfn.XLOOKUP(TRIM($B42), $R$4:$R$10, $X$4:$X$10)
* _xlfn.XLOOKUP(--TRIM(G$36), $B$25:$B$34, $H$25:$H$34), ""
)</f>
        <v/>
      </c>
      <c r="H42">
        <f>_xlfn.IFNA(
SUMPRODUCT(
_xlfn.XLOOKUP(TRIM($B42), $R$4:$R$10, $S$4:$W$10),
_xlfn.XLOOKUP(--TRIM(H$36), $B$25:$B$34, $C$25:$G$34)
)
- _xlfn.XLOOKUP(TRIM($B42), $R$4:$R$10, $X$4:$X$10)
* _xlfn.XLOOKUP(--TRIM(H$36), $B$25:$B$34, $H$25:$H$34), ""
)</f>
        <v/>
      </c>
      <c r="I42">
        <f>_xlfn.IFNA(
SUMPRODUCT(
_xlfn.XLOOKUP(TRIM($B42), $R$4:$R$10, $S$4:$W$10),
_xlfn.XLOOKUP(--TRIM(I$36), $B$25:$B$34, $C$25:$G$34)
)
- _xlfn.XLOOKUP(TRIM($B42), $R$4:$R$10, $X$4:$X$10)
* _xlfn.XLOOKUP(--TRIM(I$36), $B$25:$B$34, $H$25:$H$34), ""
)</f>
        <v/>
      </c>
      <c r="J42">
        <f>_xlfn.IFNA(
SUMPRODUCT(
_xlfn.XLOOKUP(TRIM($B42), $R$4:$R$10, $S$4:$W$10),
_xlfn.XLOOKUP(--TRIM(J$36), $B$25:$B$34, $C$25:$G$34)
)
- _xlfn.XLOOKUP(TRIM($B42), $R$4:$R$10, $X$4:$X$10)
* _xlfn.XLOOKUP(--TRIM(J$36), $B$25:$B$34, $H$25:$H$34), ""
)</f>
        <v/>
      </c>
      <c r="K42">
        <f>_xlfn.IFNA(
SUMPRODUCT(
_xlfn.XLOOKUP(TRIM($B42), $R$4:$R$10, $S$4:$W$10),
_xlfn.XLOOKUP(--TRIM(K$36), $B$25:$B$34, $C$25:$G$34)
)
- _xlfn.XLOOKUP(TRIM($B42), $R$4:$R$10, $X$4:$X$10)
* _xlfn.XLOOKUP(--TRIM(K$36), $B$25:$B$34, $H$25:$H$34), ""
)</f>
        <v/>
      </c>
      <c r="L42">
        <f>_xlfn.IFNA(
SUMPRODUCT(
_xlfn.XLOOKUP(TRIM($B42), $R$4:$R$10, $S$4:$W$10),
_xlfn.XLOOKUP(--TRIM(L$36), $B$25:$B$34, $C$25:$G$34)
)
- _xlfn.XLOOKUP(TRIM($B42), $R$4:$R$10, $X$4:$X$10)
* _xlfn.XLOOKUP(--TRIM(L$36), $B$25:$B$34, $H$25:$H$34), ""
)</f>
        <v/>
      </c>
    </row>
    <row r="43">
      <c r="B43" s="10" t="inlineStr">
        <is>
          <t>G</t>
        </is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/>
      </c>
      <c r="D43">
        <f>_xlfn.IFNA(
SUMPRODUCT(
_xlfn.XLOOKUP(TRIM($B43), $R$4:$R$10, $S$4:$W$10),
_xlfn.XLOOKUP(--TRIM(D$36), $B$25:$B$34, $C$25:$G$34)
)
- _xlfn.XLOOKUP(TRIM($B43), $R$4:$R$10, $X$4:$X$10)
* _xlfn.XLOOKUP(--TRIM(D$36), $B$25:$B$34, $H$25:$H$34), ""
)</f>
        <v/>
      </c>
      <c r="E43">
        <f>_xlfn.IFNA(
SUMPRODUCT(
_xlfn.XLOOKUP(TRIM($B43), $R$4:$R$10, $S$4:$W$10),
_xlfn.XLOOKUP(--TRIM(E$36), $B$25:$B$34, $C$25:$G$34)
)
- _xlfn.XLOOKUP(TRIM($B43), $R$4:$R$10, $X$4:$X$10)
* _xlfn.XLOOKUP(--TRIM(E$36), $B$25:$B$34, $H$25:$H$34), ""
)</f>
        <v/>
      </c>
      <c r="F43">
        <f>_xlfn.IFNA(
SUMPRODUCT(
_xlfn.XLOOKUP(TRIM($B43), $R$4:$R$10, $S$4:$W$10),
_xlfn.XLOOKUP(--TRIM(F$36), $B$25:$B$34, $C$25:$G$34)
)
- _xlfn.XLOOKUP(TRIM($B43), $R$4:$R$10, $X$4:$X$10)
* _xlfn.XLOOKUP(--TRIM(F$36), $B$25:$B$34, $H$25:$H$34), ""
)</f>
        <v/>
      </c>
      <c r="G43">
        <f>_xlfn.IFNA(
SUMPRODUCT(
_xlfn.XLOOKUP(TRIM($B43), $R$4:$R$10, $S$4:$W$10),
_xlfn.XLOOKUP(--TRIM(G$36), $B$25:$B$34, $C$25:$G$34)
)
- _xlfn.XLOOKUP(TRIM($B43), $R$4:$R$10, $X$4:$X$10)
* _xlfn.XLOOKUP(--TRIM(G$36), $B$25:$B$34, $H$25:$H$34), ""
)</f>
        <v/>
      </c>
      <c r="H43">
        <f>_xlfn.IFNA(
SUMPRODUCT(
_xlfn.XLOOKUP(TRIM($B43), $R$4:$R$10, $S$4:$W$10),
_xlfn.XLOOKUP(--TRIM(H$36), $B$25:$B$34, $C$25:$G$34)
)
- _xlfn.XLOOKUP(TRIM($B43), $R$4:$R$10, $X$4:$X$10)
* _xlfn.XLOOKUP(--TRIM(H$36), $B$25:$B$34, $H$25:$H$34), ""
)</f>
        <v/>
      </c>
      <c r="I43">
        <f>_xlfn.IFNA(
SUMPRODUCT(
_xlfn.XLOOKUP(TRIM($B43), $R$4:$R$10, $S$4:$W$10),
_xlfn.XLOOKUP(--TRIM(I$36), $B$25:$B$34, $C$25:$G$34)
)
- _xlfn.XLOOKUP(TRIM($B43), $R$4:$R$10, $X$4:$X$10)
* _xlfn.XLOOKUP(--TRIM(I$36), $B$25:$B$34, $H$25:$H$34), ""
)</f>
        <v/>
      </c>
      <c r="J43">
        <f>_xlfn.IFNA(
SUMPRODUCT(
_xlfn.XLOOKUP(TRIM($B43), $R$4:$R$10, $S$4:$W$10),
_xlfn.XLOOKUP(--TRIM(J$36), $B$25:$B$34, $C$25:$G$34)
)
- _xlfn.XLOOKUP(TRIM($B43), $R$4:$R$10, $X$4:$X$10)
* _xlfn.XLOOKUP(--TRIM(J$36), $B$25:$B$34, $H$25:$H$34), ""
)</f>
        <v/>
      </c>
      <c r="K43">
        <f>_xlfn.IFNA(
SUMPRODUCT(
_xlfn.XLOOKUP(TRIM($B43), $R$4:$R$10, $S$4:$W$10),
_xlfn.XLOOKUP(--TRIM(K$36), $B$25:$B$34, $C$25:$G$34)
)
- _xlfn.XLOOKUP(TRIM($B43), $R$4:$R$10, $X$4:$X$10)
* _xlfn.XLOOKUP(--TRIM(K$36), $B$25:$B$34, $H$25:$H$34), ""
)</f>
        <v/>
      </c>
      <c r="L43">
        <f>_xlfn.IFNA(
SUMPRODUCT(
_xlfn.XLOOKUP(TRIM($B43), $R$4:$R$10, $S$4:$W$10),
_xlfn.XLOOKUP(--TRIM(L$36), $B$25:$B$34, $C$25:$G$34)
)
- _xlfn.XLOOKUP(TRIM($B43), $R$4:$R$10, $X$4:$X$10)
* _xlfn.XLOOKUP(--TRIM(L$36), $B$25:$B$34, $H$25:$H$34), ""
)</f>
        <v/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0" workbookViewId="0">
      <selection activeCell="A1" sqref="A1"/>
    </sheetView>
  </sheetViews>
  <sheetFormatPr baseColWidth="8" defaultColWidth="8.6640625" defaultRowHeight="14.4"/>
  <cols>
    <col width="8.6640625" customWidth="1" style="60" min="1" max="1"/>
    <col width="19" customWidth="1" style="3" min="2" max="2"/>
    <col width="13.6640625" customWidth="1" style="60" min="3" max="10"/>
    <col width="21.5546875" customWidth="1" style="60" min="11" max="11"/>
    <col width="13.6640625" customWidth="1" style="60" min="12" max="14"/>
    <col width="12.109375" customWidth="1" style="60" min="15" max="15"/>
    <col width="13.109375" customWidth="1" style="60" min="16" max="16"/>
  </cols>
  <sheetData>
    <row r="1">
      <c r="B1" s="35" t="inlineStr">
        <is>
          <t>Q1. Equal Weights</t>
        </is>
      </c>
      <c r="C1" s="34" t="n">
        <v>1</v>
      </c>
      <c r="D1" s="34" t="n">
        <v>1</v>
      </c>
      <c r="E1" s="34" t="n">
        <v>1</v>
      </c>
      <c r="F1" s="34" t="n">
        <v>1</v>
      </c>
      <c r="G1" s="34" t="n">
        <v>1</v>
      </c>
    </row>
    <row r="2">
      <c r="B2" s="35" t="inlineStr">
        <is>
          <t>Q2. Different Weights</t>
        </is>
      </c>
      <c r="C2" s="34" t="n">
        <v>1</v>
      </c>
      <c r="D2" s="34" t="n">
        <v>1</v>
      </c>
      <c r="E2" s="34" t="n">
        <v>1</v>
      </c>
      <c r="F2" s="34" t="n">
        <v>2</v>
      </c>
      <c r="G2" s="34" t="n">
        <v>2</v>
      </c>
    </row>
    <row r="3" ht="41.4" customHeight="1" s="60">
      <c r="B3" s="4" t="inlineStr">
        <is>
          <t>Supplier</t>
        </is>
      </c>
      <c r="C3" s="57" t="inlineStr">
        <is>
          <t>Environmental Risk</t>
        </is>
      </c>
      <c r="D3" s="57" t="inlineStr">
        <is>
          <t>Social Risk</t>
        </is>
      </c>
      <c r="E3" s="57" t="inlineStr">
        <is>
          <t>Cost Score</t>
        </is>
      </c>
      <c r="F3" s="57" t="inlineStr">
        <is>
          <t>Strategic Importance</t>
        </is>
      </c>
      <c r="G3" s="57" t="inlineStr">
        <is>
          <t>Improvement Potential</t>
        </is>
      </c>
      <c r="H3" s="16" t="inlineStr">
        <is>
          <t>Child Labor</t>
        </is>
      </c>
      <c r="I3" s="16" t="inlineStr">
        <is>
          <t>Banned Chemicals</t>
        </is>
      </c>
      <c r="J3" s="17" t="inlineStr">
        <is>
          <t>Low Product Quality</t>
        </is>
      </c>
      <c r="K3" s="33" t="inlineStr">
        <is>
          <t>Total Score</t>
        </is>
      </c>
      <c r="L3" s="14" t="inlineStr">
        <is>
          <t>Q1. Min Cost&amp; Enve&amp;Social Risk</t>
        </is>
      </c>
      <c r="M3" s="18" t="inlineStr">
        <is>
          <t xml:space="preserve">Q2. Max Improvement </t>
        </is>
      </c>
    </row>
    <row r="4">
      <c r="B4" s="10" t="inlineStr">
        <is>
          <t>A</t>
        </is>
      </c>
      <c r="C4" s="2" t="n">
        <v>2</v>
      </c>
      <c r="D4" s="2" t="n">
        <v>4</v>
      </c>
      <c r="E4" s="2" t="n">
        <v>1</v>
      </c>
      <c r="F4" s="2" t="n">
        <v>3</v>
      </c>
      <c r="G4" s="2" t="n">
        <v>4</v>
      </c>
      <c r="H4" s="6" t="n">
        <v>1</v>
      </c>
      <c r="I4" s="6" t="n">
        <v>0</v>
      </c>
      <c r="J4" s="6" t="n">
        <v>0</v>
      </c>
      <c r="K4" s="1">
        <f>SUM(C4:G4)</f>
        <v/>
      </c>
      <c r="L4" s="26">
        <f>SUMPRODUCT($C$1:$E$1,C4:E4)/SUM($C$1:$E$1)</f>
        <v/>
      </c>
      <c r="M4" s="26">
        <f>SUMPRODUCT(C4:G4,$C$2:$G$2)/SUM($C$2:$G$2)</f>
        <v/>
      </c>
    </row>
    <row r="5">
      <c r="B5" s="10" t="inlineStr">
        <is>
          <t>B</t>
        </is>
      </c>
      <c r="C5" s="2" t="n">
        <v>3</v>
      </c>
      <c r="D5" s="2" t="n">
        <v>5</v>
      </c>
      <c r="E5" s="2" t="n">
        <v>2</v>
      </c>
      <c r="F5" s="2" t="n">
        <v>3</v>
      </c>
      <c r="G5" s="2" t="n">
        <v>3</v>
      </c>
      <c r="H5" s="6" t="n">
        <v>0</v>
      </c>
      <c r="I5" s="6" t="n">
        <v>0</v>
      </c>
      <c r="J5" s="6" t="n">
        <v>1</v>
      </c>
      <c r="K5" s="1">
        <f>SUM(C5:G5)</f>
        <v/>
      </c>
      <c r="L5" s="26">
        <f>SUMPRODUCT($C$1:$E$1,C5:E5)/SUM($C$1:$E$1)</f>
        <v/>
      </c>
      <c r="M5" s="26">
        <f>SUMPRODUCT(C5:G5,$C$2:$G$2)/SUM($C$2:$G$2)</f>
        <v/>
      </c>
    </row>
    <row r="6">
      <c r="B6" s="10" t="inlineStr">
        <is>
          <t>C</t>
        </is>
      </c>
      <c r="C6" s="2" t="n">
        <v>2</v>
      </c>
      <c r="D6" s="2" t="n">
        <v>1</v>
      </c>
      <c r="E6" s="2" t="n">
        <v>3</v>
      </c>
      <c r="F6" s="2" t="n">
        <v>2</v>
      </c>
      <c r="G6" s="2" t="n">
        <v>3</v>
      </c>
      <c r="H6" s="6" t="n">
        <v>0</v>
      </c>
      <c r="I6" s="6" t="n">
        <v>1</v>
      </c>
      <c r="J6" s="6" t="n">
        <v>0</v>
      </c>
      <c r="K6" s="1">
        <f>SUM(C6:G6)</f>
        <v/>
      </c>
      <c r="L6" s="26">
        <f>SUMPRODUCT($C$1:$E$1,C6:E6)/SUM($C$1:$E$1)</f>
        <v/>
      </c>
      <c r="M6" s="26">
        <f>SUMPRODUCT(C6:G6,$C$2:$G$2)/SUM($C$2:$G$2)</f>
        <v/>
      </c>
    </row>
    <row r="7">
      <c r="B7" s="10" t="inlineStr">
        <is>
          <t>D</t>
        </is>
      </c>
      <c r="C7" s="2" t="n">
        <v>2</v>
      </c>
      <c r="D7" s="2" t="n">
        <v>2</v>
      </c>
      <c r="E7" s="2" t="n">
        <v>5</v>
      </c>
      <c r="F7" s="2" t="n">
        <v>2</v>
      </c>
      <c r="G7" s="2" t="n">
        <v>2</v>
      </c>
      <c r="H7" s="6" t="n">
        <v>0</v>
      </c>
      <c r="I7" s="6" t="n">
        <v>0</v>
      </c>
      <c r="J7" s="6" t="n">
        <v>0</v>
      </c>
      <c r="K7" s="1">
        <f>SUM(C7:G7)</f>
        <v/>
      </c>
      <c r="L7" s="26">
        <f>SUMPRODUCT($C$1:$E$1,C7:E7)/SUM($C$1:$E$1)</f>
        <v/>
      </c>
      <c r="M7" s="26">
        <f>SUMPRODUCT(C7:G7,$C$2:$G$2)/SUM($C$2:$G$2)</f>
        <v/>
      </c>
    </row>
    <row r="8">
      <c r="B8" s="10" t="inlineStr">
        <is>
          <t>E</t>
        </is>
      </c>
      <c r="C8" s="2" t="n">
        <v>3</v>
      </c>
      <c r="D8" s="2" t="n">
        <v>4</v>
      </c>
      <c r="E8" s="2" t="n">
        <v>3</v>
      </c>
      <c r="F8" s="2" t="n">
        <v>2</v>
      </c>
      <c r="G8" s="2" t="n">
        <v>5</v>
      </c>
      <c r="H8" s="6" t="n">
        <v>0</v>
      </c>
      <c r="I8" s="6" t="n">
        <v>0</v>
      </c>
      <c r="J8" s="6" t="n">
        <v>1</v>
      </c>
      <c r="K8" s="1">
        <f>SUM(C8:G8)</f>
        <v/>
      </c>
      <c r="L8" s="26">
        <f>SUMPRODUCT($C$1:$E$1,C8:E8)/SUM($C$1:$E$1)</f>
        <v/>
      </c>
      <c r="M8" s="26">
        <f>SUMPRODUCT(C8:G8,$C$2:$G$2)/SUM($C$2:$G$2)</f>
        <v/>
      </c>
    </row>
    <row r="9">
      <c r="B9" s="10" t="inlineStr">
        <is>
          <t>F</t>
        </is>
      </c>
      <c r="C9" s="2" t="n">
        <v>5</v>
      </c>
      <c r="D9" s="2" t="n">
        <v>4</v>
      </c>
      <c r="E9" s="2" t="n">
        <v>2</v>
      </c>
      <c r="F9" s="2" t="n">
        <v>4</v>
      </c>
      <c r="G9" s="2" t="n">
        <v>4</v>
      </c>
      <c r="H9" s="6" t="n">
        <v>1</v>
      </c>
      <c r="I9" s="6" t="n">
        <v>1</v>
      </c>
      <c r="J9" s="6" t="n">
        <v>0</v>
      </c>
      <c r="K9" s="1">
        <f>SUM(C9:G9)</f>
        <v/>
      </c>
      <c r="L9" s="26">
        <f>SUMPRODUCT($C$1:$E$1,C9:E9)/SUM($C$1:$E$1)</f>
        <v/>
      </c>
      <c r="M9" s="26">
        <f>SUMPRODUCT(C9:G9,$C$2:$G$2)/SUM($C$2:$G$2)</f>
        <v/>
      </c>
    </row>
    <row r="10">
      <c r="B10" s="10" t="inlineStr">
        <is>
          <t>G</t>
        </is>
      </c>
      <c r="C10" s="2" t="n">
        <v>2</v>
      </c>
      <c r="D10" s="2" t="n">
        <v>1</v>
      </c>
      <c r="E10" s="2" t="n">
        <v>3</v>
      </c>
      <c r="F10" s="2" t="n">
        <v>3</v>
      </c>
      <c r="G10" s="2" t="n">
        <v>3</v>
      </c>
      <c r="H10" s="6" t="n">
        <v>0</v>
      </c>
      <c r="I10" s="6" t="n">
        <v>0</v>
      </c>
      <c r="J10" s="6" t="n">
        <v>0</v>
      </c>
      <c r="K10" s="1">
        <f>SUM(C10:G10)</f>
        <v/>
      </c>
      <c r="L10" s="26">
        <f>SUMPRODUCT($C$1:$E$1,C10:E10)/SUM($C$1:$E$1)</f>
        <v/>
      </c>
      <c r="M10" s="26">
        <f>SUMPRODUCT(C10:G10,$C$2:$G$2)/SUM($C$2:$G$2)</f>
        <v/>
      </c>
    </row>
    <row r="12">
      <c r="B12" s="62" t="inlineStr">
        <is>
          <t>Rank</t>
        </is>
      </c>
      <c r="C12" s="65" t="inlineStr">
        <is>
          <t>Environmental Risk</t>
        </is>
      </c>
      <c r="D12" s="63" t="inlineStr">
        <is>
          <t>Social Risk</t>
        </is>
      </c>
      <c r="E12" s="63" t="inlineStr">
        <is>
          <t>Cost Score</t>
        </is>
      </c>
      <c r="F12" s="63" t="inlineStr">
        <is>
          <t>Strategic Importance</t>
        </is>
      </c>
      <c r="G12" s="70" t="inlineStr">
        <is>
          <t>Improvement Potential</t>
        </is>
      </c>
      <c r="J12" s="19" t="inlineStr">
        <is>
          <t>Q1</t>
        </is>
      </c>
      <c r="K12" s="21" t="inlineStr">
        <is>
          <t>Q2</t>
        </is>
      </c>
      <c r="L12" s="20" t="inlineStr">
        <is>
          <t>Q3</t>
        </is>
      </c>
    </row>
    <row r="13" ht="34.95" customHeight="1" s="60">
      <c r="B13" s="58" t="n"/>
      <c r="C13" s="66" t="n"/>
      <c r="D13" s="64" t="n"/>
      <c r="E13" s="64" t="n"/>
      <c r="F13" s="64" t="n"/>
      <c r="G13" s="71" t="n"/>
      <c r="J13" s="19" t="inlineStr">
        <is>
          <t>Min Cost + Enve&amp;Social Risk</t>
        </is>
      </c>
      <c r="K13" s="22" t="inlineStr">
        <is>
          <t>Min Cost + Max Improvement</t>
        </is>
      </c>
      <c r="L13" s="17" t="inlineStr">
        <is>
          <t>Min Cost/No Quality Issues</t>
        </is>
      </c>
    </row>
    <row r="14">
      <c r="B14" s="62" t="inlineStr">
        <is>
          <t>Supplier 1</t>
        </is>
      </c>
      <c r="C14" s="2">
        <f t="array" ref="C14:C20">_xlfn.SORTBY($B$4:$B$10, C4:C10, 1)</f>
        <v/>
      </c>
      <c r="D14" s="2">
        <f t="array" ref="D14:D20">_xlfn.SORTBY(B4:B10,D4:D10)</f>
        <v/>
      </c>
      <c r="E14" s="2">
        <f t="array" ref="E14:E20">_xlfn.SORTBY(B4:B10,E4:E10)</f>
        <v/>
      </c>
      <c r="F14" s="2">
        <f t="array" ref="F14:F20">_xlfn.SORTBY(B4:B10,F4:F10)</f>
        <v/>
      </c>
      <c r="G14" s="2">
        <f t="array" ref="G14:G20">_xlfn.SORTBY(B4:B10,G4:G10)</f>
        <v/>
      </c>
      <c r="J14" s="11">
        <f t="array" ref="J14:J20">_xlfn.SORTBY(B4:B10,L4:L10)</f>
        <v/>
      </c>
      <c r="K14" s="38">
        <f t="array" ref="K14:K20">_xlfn.SORTBY(B4:B10,M4:M10)</f>
        <v/>
      </c>
      <c r="L14" s="37" t="inlineStr">
        <is>
          <t>A</t>
        </is>
      </c>
      <c r="Q14" s="8" t="n"/>
      <c r="R14" s="8" t="n"/>
    </row>
    <row r="15">
      <c r="B15" s="62" t="inlineStr">
        <is>
          <t>Supplier 2</t>
        </is>
      </c>
      <c r="C15" s="2" t="inlineStr">
        <is>
          <t>C</t>
        </is>
      </c>
      <c r="D15" s="2" t="inlineStr">
        <is>
          <t>G</t>
        </is>
      </c>
      <c r="E15" s="2" t="inlineStr">
        <is>
          <t>B</t>
        </is>
      </c>
      <c r="F15" s="2" t="inlineStr">
        <is>
          <t>D</t>
        </is>
      </c>
      <c r="G15" s="2" t="inlineStr">
        <is>
          <t>B</t>
        </is>
      </c>
      <c r="J15" s="36" t="inlineStr">
        <is>
          <t>G</t>
        </is>
      </c>
      <c r="K15" s="31" t="inlineStr">
        <is>
          <t>D</t>
        </is>
      </c>
      <c r="L15" s="32" t="inlineStr">
        <is>
          <t>B</t>
        </is>
      </c>
      <c r="M15" s="28" t="inlineStr">
        <is>
          <t>quality issues</t>
        </is>
      </c>
      <c r="Q15" s="8" t="n"/>
      <c r="R15" s="8" t="n"/>
    </row>
    <row r="16">
      <c r="B16" s="62" t="inlineStr">
        <is>
          <t>Supplier 3</t>
        </is>
      </c>
      <c r="C16" s="2" t="inlineStr">
        <is>
          <t>D</t>
        </is>
      </c>
      <c r="D16" s="2" t="inlineStr">
        <is>
          <t>D</t>
        </is>
      </c>
      <c r="E16" s="2" t="inlineStr">
        <is>
          <t>F</t>
        </is>
      </c>
      <c r="F16" s="2" t="inlineStr">
        <is>
          <t>E</t>
        </is>
      </c>
      <c r="G16" s="2" t="inlineStr">
        <is>
          <t>C</t>
        </is>
      </c>
      <c r="J16" s="24" t="inlineStr">
        <is>
          <t>A</t>
        </is>
      </c>
      <c r="K16" s="1" t="inlineStr">
        <is>
          <t>G</t>
        </is>
      </c>
      <c r="L16" s="37" t="inlineStr">
        <is>
          <t>F</t>
        </is>
      </c>
      <c r="Q16" s="8" t="n"/>
      <c r="R16" s="8" t="n"/>
    </row>
    <row r="17">
      <c r="A17" s="5" t="n"/>
      <c r="B17" s="62" t="inlineStr">
        <is>
          <t>Supplier 4</t>
        </is>
      </c>
      <c r="C17" s="2" t="inlineStr">
        <is>
          <t>G</t>
        </is>
      </c>
      <c r="D17" s="2" t="inlineStr">
        <is>
          <t>A</t>
        </is>
      </c>
      <c r="E17" s="2" t="inlineStr">
        <is>
          <t>C</t>
        </is>
      </c>
      <c r="F17" s="2" t="inlineStr">
        <is>
          <t>A</t>
        </is>
      </c>
      <c r="G17" s="2" t="inlineStr">
        <is>
          <t>G</t>
        </is>
      </c>
      <c r="J17" s="27" t="inlineStr">
        <is>
          <t>D</t>
        </is>
      </c>
      <c r="K17" s="25" t="inlineStr">
        <is>
          <t>A</t>
        </is>
      </c>
      <c r="L17" s="25" t="inlineStr">
        <is>
          <t>C</t>
        </is>
      </c>
      <c r="Q17" s="8" t="n"/>
      <c r="R17" s="8" t="n"/>
    </row>
    <row r="18">
      <c r="A18" s="5" t="n"/>
      <c r="B18" s="62" t="inlineStr">
        <is>
          <t>Supplier 5</t>
        </is>
      </c>
      <c r="C18" s="2" t="inlineStr">
        <is>
          <t>B</t>
        </is>
      </c>
      <c r="D18" s="2" t="inlineStr">
        <is>
          <t>E</t>
        </is>
      </c>
      <c r="E18" s="2" t="inlineStr">
        <is>
          <t>E</t>
        </is>
      </c>
      <c r="F18" s="2" t="inlineStr">
        <is>
          <t>B</t>
        </is>
      </c>
      <c r="G18" s="2" t="inlineStr">
        <is>
          <t>A</t>
        </is>
      </c>
      <c r="J18" s="30" t="inlineStr">
        <is>
          <t>B</t>
        </is>
      </c>
      <c r="K18" s="29" t="inlineStr">
        <is>
          <t>B</t>
        </is>
      </c>
      <c r="L18" s="32" t="inlineStr">
        <is>
          <t>E</t>
        </is>
      </c>
      <c r="M18" s="28" t="inlineStr">
        <is>
          <t>quality issues</t>
        </is>
      </c>
    </row>
    <row r="19">
      <c r="A19" s="5" t="n"/>
      <c r="B19" s="62" t="inlineStr">
        <is>
          <t>Supplier 6</t>
        </is>
      </c>
      <c r="C19" s="2" t="inlineStr">
        <is>
          <t>E</t>
        </is>
      </c>
      <c r="D19" s="2" t="inlineStr">
        <is>
          <t>F</t>
        </is>
      </c>
      <c r="E19" s="2" t="inlineStr">
        <is>
          <t>G</t>
        </is>
      </c>
      <c r="F19" s="2" t="inlineStr">
        <is>
          <t>G</t>
        </is>
      </c>
      <c r="G19" s="2" t="inlineStr">
        <is>
          <t>F</t>
        </is>
      </c>
      <c r="J19" s="30" t="inlineStr">
        <is>
          <t>E</t>
        </is>
      </c>
      <c r="K19" s="29" t="inlineStr">
        <is>
          <t>E</t>
        </is>
      </c>
      <c r="L19" s="23" t="inlineStr">
        <is>
          <t>G</t>
        </is>
      </c>
    </row>
    <row r="20">
      <c r="B20" s="62" t="inlineStr">
        <is>
          <t>Supplier 7</t>
        </is>
      </c>
      <c r="C20" s="2" t="inlineStr">
        <is>
          <t>F</t>
        </is>
      </c>
      <c r="D20" s="2" t="inlineStr">
        <is>
          <t>B</t>
        </is>
      </c>
      <c r="E20" s="2" t="inlineStr">
        <is>
          <t>D</t>
        </is>
      </c>
      <c r="F20" s="2" t="inlineStr">
        <is>
          <t>F</t>
        </is>
      </c>
      <c r="G20" s="2" t="inlineStr">
        <is>
          <t>E</t>
        </is>
      </c>
      <c r="J20" s="24" t="inlineStr">
        <is>
          <t>F</t>
        </is>
      </c>
      <c r="K20" s="25" t="inlineStr">
        <is>
          <t>F</t>
        </is>
      </c>
      <c r="L20" s="23" t="inlineStr">
        <is>
          <t>D</t>
        </is>
      </c>
    </row>
    <row r="21">
      <c r="I21" s="39" t="inlineStr">
        <is>
          <t>Selected Ones</t>
        </is>
      </c>
      <c r="J21" s="40" t="inlineStr">
        <is>
          <t>C &amp; G</t>
        </is>
      </c>
      <c r="K21" s="40" t="inlineStr">
        <is>
          <t>C &amp; D</t>
        </is>
      </c>
      <c r="L21" s="40" t="inlineStr">
        <is>
          <t>A &amp; F</t>
        </is>
      </c>
    </row>
    <row r="31">
      <c r="B31" s="57" t="inlineStr">
        <is>
          <t>Supplier</t>
        </is>
      </c>
      <c r="C31" s="59" t="inlineStr">
        <is>
          <t>Notes</t>
        </is>
      </c>
    </row>
    <row r="32">
      <c r="B32" s="58" t="n"/>
      <c r="C32" s="61" t="n"/>
    </row>
    <row r="33">
      <c r="B33" s="67" t="inlineStr">
        <is>
          <t>G</t>
        </is>
      </c>
      <c r="C33" s="67" t="inlineStr">
        <is>
          <t>Ideal supplier.</t>
        </is>
      </c>
      <c r="D33" s="68" t="n"/>
      <c r="E33" s="68" t="n"/>
      <c r="F33" s="69" t="n"/>
    </row>
    <row r="34">
      <c r="B34" s="67" t="inlineStr">
        <is>
          <t>D</t>
        </is>
      </c>
      <c r="C34" s="67" t="inlineStr">
        <is>
          <t>Good supplier with no compliance issues, but too costly.</t>
        </is>
      </c>
      <c r="D34" s="68" t="n"/>
      <c r="E34" s="68" t="n"/>
      <c r="F34" s="69" t="n"/>
    </row>
    <row r="35">
      <c r="B35" s="12" t="inlineStr">
        <is>
          <t>A</t>
        </is>
      </c>
      <c r="C35" s="67" t="inlineStr">
        <is>
          <t>Need to add requirements for child labor.</t>
        </is>
      </c>
      <c r="D35" s="68" t="n"/>
      <c r="E35" s="68" t="n"/>
      <c r="F35" s="69" t="n"/>
    </row>
    <row r="36">
      <c r="B36" s="12" t="inlineStr">
        <is>
          <t>C</t>
        </is>
      </c>
      <c r="C36" s="67" t="inlineStr">
        <is>
          <t>Need to add requirements for banned chemicals.</t>
        </is>
      </c>
      <c r="D36" s="68" t="n"/>
      <c r="E36" s="68" t="n"/>
      <c r="F36" s="69" t="n"/>
    </row>
    <row r="37">
      <c r="B37" s="13" t="inlineStr">
        <is>
          <t>E/B</t>
        </is>
      </c>
      <c r="C37" s="67" t="inlineStr">
        <is>
          <t>Can choose work on quality problems instead of A or C.</t>
        </is>
      </c>
      <c r="D37" s="68" t="n"/>
      <c r="E37" s="68" t="n"/>
      <c r="F37" s="69" t="n"/>
    </row>
    <row r="38">
      <c r="B38" s="12" t="inlineStr">
        <is>
          <t>F</t>
        </is>
      </c>
      <c r="C38" s="67" t="inlineStr">
        <is>
          <t>High risk and suspected both child labor and banned chemicals.</t>
        </is>
      </c>
      <c r="D38" s="68" t="n"/>
      <c r="E38" s="68" t="n"/>
      <c r="F38" s="69" t="n"/>
    </row>
  </sheetData>
  <mergeCells count="14">
    <mergeCell ref="C35:F35"/>
    <mergeCell ref="B12:B13"/>
    <mergeCell ref="E12:E13"/>
    <mergeCell ref="C34:F34"/>
    <mergeCell ref="C12:C13"/>
    <mergeCell ref="F12:F13"/>
    <mergeCell ref="G12:G13"/>
    <mergeCell ref="C38:F38"/>
    <mergeCell ref="C33:F33"/>
    <mergeCell ref="D12:D13"/>
    <mergeCell ref="C31:F32"/>
    <mergeCell ref="C37:F37"/>
    <mergeCell ref="C36:F36"/>
    <mergeCell ref="B31:B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2026-03-13T16:47:31Z</dcterms:created>
  <dcterms:modified xsi:type="dcterms:W3CDTF">2026-03-13T16:47:31Z</dcterms:modified>
  <cp:lastModifiedBy>Arda Aydin</cp:lastModifiedBy>
</cp:coreProperties>
</file>