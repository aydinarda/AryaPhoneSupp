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FEE6B5F4-B0C3-4BFB-9244-F347815E06A1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Arya Case (Solution)" sheetId="7" state="hidden" r:id="rId1"/>
    <sheet name="Supplier" sheetId="13" r:id="rId2"/>
    <sheet name="User" sheetId="14" r:id="rId3"/>
    <sheet name="Max Profit Agent" sheetId="8" r:id="rId4"/>
    <sheet name="Min Cost Agent (2)" sheetId="12" state="hidden" r:id="rId5"/>
    <sheet name="Max Match Agent" sheetId="10" r:id="rId6"/>
    <sheet name="Best Global Policy" sheetId="11" r:id="rId7"/>
    <sheet name="Arya Case" sheetId="4" state="hidden" r:id="rId8"/>
  </sheets>
  <definedNames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'Max Profit Agent'!$C$55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3" l="1"/>
  <c r="L14" i="13"/>
  <c r="L15" i="13"/>
  <c r="L16" i="13"/>
  <c r="L17" i="13"/>
  <c r="L18" i="13"/>
  <c r="L19" i="13"/>
  <c r="L3" i="13"/>
  <c r="L4" i="13"/>
  <c r="L5" i="13"/>
  <c r="L6" i="13"/>
  <c r="L7" i="13"/>
  <c r="L8" i="13"/>
  <c r="L9" i="13"/>
  <c r="L10" i="13"/>
  <c r="L11" i="13"/>
  <c r="L12" i="13"/>
  <c r="K9" i="13"/>
  <c r="K10" i="13"/>
  <c r="K11" i="13"/>
  <c r="K12" i="13"/>
  <c r="K13" i="13"/>
  <c r="K14" i="13"/>
  <c r="K15" i="13"/>
  <c r="K16" i="13"/>
  <c r="K17" i="13"/>
  <c r="K18" i="13"/>
  <c r="K19" i="13"/>
  <c r="K3" i="13"/>
  <c r="K4" i="13"/>
  <c r="K5" i="13"/>
  <c r="K6" i="13"/>
  <c r="K7" i="13"/>
  <c r="K8" i="13"/>
  <c r="K2" i="13"/>
  <c r="C51" i="8" l="1"/>
  <c r="C49" i="8"/>
  <c r="C55" i="8" s="1"/>
  <c r="E37" i="8"/>
  <c r="L2" i="13"/>
  <c r="K4" i="8"/>
  <c r="L43" i="12"/>
  <c r="K43" i="12"/>
  <c r="J43" i="12"/>
  <c r="I43" i="12"/>
  <c r="H43" i="12"/>
  <c r="G43" i="12"/>
  <c r="F43" i="12"/>
  <c r="E43" i="12"/>
  <c r="D43" i="12"/>
  <c r="C43" i="12"/>
  <c r="L42" i="12"/>
  <c r="K42" i="12"/>
  <c r="J42" i="12"/>
  <c r="I42" i="12"/>
  <c r="H42" i="12"/>
  <c r="G42" i="12"/>
  <c r="F42" i="12"/>
  <c r="E42" i="12"/>
  <c r="D42" i="12"/>
  <c r="C42" i="12"/>
  <c r="L41" i="12"/>
  <c r="K41" i="12"/>
  <c r="J41" i="12"/>
  <c r="I41" i="12"/>
  <c r="H41" i="12"/>
  <c r="G41" i="12"/>
  <c r="F41" i="12"/>
  <c r="E41" i="12"/>
  <c r="D41" i="12"/>
  <c r="C41" i="12"/>
  <c r="L40" i="12"/>
  <c r="K40" i="12"/>
  <c r="J40" i="12"/>
  <c r="I40" i="12"/>
  <c r="H40" i="12"/>
  <c r="G40" i="12"/>
  <c r="F40" i="12"/>
  <c r="E40" i="12"/>
  <c r="D40" i="12"/>
  <c r="C40" i="12"/>
  <c r="L39" i="12"/>
  <c r="K39" i="12"/>
  <c r="J39" i="12"/>
  <c r="I39" i="12"/>
  <c r="H39" i="12"/>
  <c r="G39" i="12"/>
  <c r="F39" i="12"/>
  <c r="E39" i="12"/>
  <c r="D39" i="12"/>
  <c r="C39" i="12"/>
  <c r="L38" i="12"/>
  <c r="K38" i="12"/>
  <c r="J38" i="12"/>
  <c r="I38" i="12"/>
  <c r="H38" i="12"/>
  <c r="G38" i="12"/>
  <c r="F38" i="12"/>
  <c r="E38" i="12"/>
  <c r="D38" i="12"/>
  <c r="C38" i="12"/>
  <c r="L37" i="12"/>
  <c r="K37" i="12"/>
  <c r="J37" i="12"/>
  <c r="I37" i="12"/>
  <c r="H37" i="12"/>
  <c r="G37" i="12"/>
  <c r="F37" i="12"/>
  <c r="E37" i="12"/>
  <c r="D37" i="12"/>
  <c r="C37" i="12"/>
  <c r="W34" i="12"/>
  <c r="U34" i="12"/>
  <c r="I34" i="12"/>
  <c r="X33" i="12"/>
  <c r="W33" i="12"/>
  <c r="V33" i="12"/>
  <c r="S33" i="12"/>
  <c r="I33" i="12"/>
  <c r="T32" i="12"/>
  <c r="S32" i="12"/>
  <c r="I32" i="12"/>
  <c r="X31" i="12"/>
  <c r="W31" i="12"/>
  <c r="I31" i="12"/>
  <c r="V30" i="12"/>
  <c r="T30" i="12"/>
  <c r="S30" i="12"/>
  <c r="I30" i="12"/>
  <c r="W29" i="12"/>
  <c r="V29" i="12"/>
  <c r="T29" i="12"/>
  <c r="I29" i="12"/>
  <c r="W28" i="12"/>
  <c r="T28" i="12"/>
  <c r="I28" i="12"/>
  <c r="I27" i="12"/>
  <c r="I26" i="12"/>
  <c r="I25" i="12"/>
  <c r="AA24" i="12"/>
  <c r="X24" i="12"/>
  <c r="X34" i="12" s="1"/>
  <c r="W24" i="12"/>
  <c r="V24" i="12"/>
  <c r="V34" i="12" s="1"/>
  <c r="U24" i="12"/>
  <c r="T24" i="12"/>
  <c r="T34" i="12" s="1"/>
  <c r="S24" i="12"/>
  <c r="S34" i="12" s="1"/>
  <c r="Y34" i="12" s="1"/>
  <c r="X23" i="12"/>
  <c r="W23" i="12"/>
  <c r="V23" i="12"/>
  <c r="U23" i="12"/>
  <c r="AA23" i="12" s="1"/>
  <c r="T23" i="12"/>
  <c r="T33" i="12" s="1"/>
  <c r="S23" i="12"/>
  <c r="X22" i="12"/>
  <c r="X32" i="12" s="1"/>
  <c r="W22" i="12"/>
  <c r="W32" i="12" s="1"/>
  <c r="V22" i="12"/>
  <c r="V32" i="12" s="1"/>
  <c r="U22" i="12"/>
  <c r="Y22" i="12" s="1"/>
  <c r="T22" i="12"/>
  <c r="S22" i="12"/>
  <c r="AA22" i="12" s="1"/>
  <c r="AA21" i="12"/>
  <c r="X21" i="12"/>
  <c r="W21" i="12"/>
  <c r="V21" i="12"/>
  <c r="V31" i="12" s="1"/>
  <c r="U21" i="12"/>
  <c r="U31" i="12" s="1"/>
  <c r="T21" i="12"/>
  <c r="T31" i="12" s="1"/>
  <c r="S21" i="12"/>
  <c r="Z21" i="12" s="1"/>
  <c r="AA20" i="12"/>
  <c r="X20" i="12"/>
  <c r="X30" i="12" s="1"/>
  <c r="W20" i="12"/>
  <c r="W30" i="12" s="1"/>
  <c r="V20" i="12"/>
  <c r="U20" i="12"/>
  <c r="U30" i="12" s="1"/>
  <c r="T20" i="12"/>
  <c r="S20" i="12"/>
  <c r="Z20" i="12" s="1"/>
  <c r="X19" i="12"/>
  <c r="X29" i="12" s="1"/>
  <c r="W19" i="12"/>
  <c r="V19" i="12"/>
  <c r="U19" i="12"/>
  <c r="U29" i="12" s="1"/>
  <c r="T19" i="12"/>
  <c r="S19" i="12"/>
  <c r="S29" i="12" s="1"/>
  <c r="Y29" i="12" s="1"/>
  <c r="X18" i="12"/>
  <c r="X28" i="12" s="1"/>
  <c r="W18" i="12"/>
  <c r="V18" i="12"/>
  <c r="V28" i="12" s="1"/>
  <c r="U18" i="12"/>
  <c r="U28" i="12" s="1"/>
  <c r="T18" i="12"/>
  <c r="S18" i="12"/>
  <c r="AA18" i="12" s="1"/>
  <c r="G14" i="12" a="1"/>
  <c r="G14" i="12" s="1"/>
  <c r="F14" i="12" a="1"/>
  <c r="F14" i="12" s="1"/>
  <c r="E14" i="12" a="1"/>
  <c r="E14" i="12" s="1"/>
  <c r="D14" i="12" a="1"/>
  <c r="D14" i="12" s="1"/>
  <c r="C14" i="12" a="1"/>
  <c r="C14" i="12" s="1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K14" i="12" s="1" a="1"/>
  <c r="K14" i="12" s="1"/>
  <c r="L4" i="12"/>
  <c r="J14" i="12" s="1" a="1"/>
  <c r="J14" i="12" s="1"/>
  <c r="K4" i="12"/>
  <c r="X19" i="8"/>
  <c r="X29" i="8" s="1"/>
  <c r="X20" i="8"/>
  <c r="X30" i="8" s="1"/>
  <c r="X21" i="8"/>
  <c r="X31" i="8" s="1"/>
  <c r="X22" i="8"/>
  <c r="X32" i="8" s="1"/>
  <c r="X23" i="8"/>
  <c r="X33" i="8" s="1"/>
  <c r="X24" i="8"/>
  <c r="X34" i="8" s="1"/>
  <c r="X18" i="8"/>
  <c r="X28" i="8" s="1"/>
  <c r="S19" i="8"/>
  <c r="S29" i="8" s="1"/>
  <c r="T19" i="8"/>
  <c r="T29" i="8" s="1"/>
  <c r="U19" i="8"/>
  <c r="U29" i="8" s="1"/>
  <c r="V19" i="8"/>
  <c r="V29" i="8" s="1"/>
  <c r="W19" i="8"/>
  <c r="W29" i="8" s="1"/>
  <c r="S20" i="8"/>
  <c r="T20" i="8"/>
  <c r="T30" i="8" s="1"/>
  <c r="U20" i="8"/>
  <c r="U30" i="8" s="1"/>
  <c r="V20" i="8"/>
  <c r="V30" i="8" s="1"/>
  <c r="W20" i="8"/>
  <c r="W30" i="8" s="1"/>
  <c r="S21" i="8"/>
  <c r="S31" i="8" s="1"/>
  <c r="T21" i="8"/>
  <c r="T31" i="8" s="1"/>
  <c r="U21" i="8"/>
  <c r="U31" i="8" s="1"/>
  <c r="V21" i="8"/>
  <c r="V31" i="8" s="1"/>
  <c r="W21" i="8"/>
  <c r="W31" i="8" s="1"/>
  <c r="S22" i="8"/>
  <c r="S32" i="8" s="1"/>
  <c r="T22" i="8"/>
  <c r="U22" i="8"/>
  <c r="U32" i="8" s="1"/>
  <c r="V22" i="8"/>
  <c r="V32" i="8" s="1"/>
  <c r="W22" i="8"/>
  <c r="W32" i="8" s="1"/>
  <c r="S23" i="8"/>
  <c r="S33" i="8" s="1"/>
  <c r="T23" i="8"/>
  <c r="T33" i="8" s="1"/>
  <c r="U23" i="8"/>
  <c r="U33" i="8" s="1"/>
  <c r="V23" i="8"/>
  <c r="V33" i="8" s="1"/>
  <c r="W23" i="8"/>
  <c r="W33" i="8" s="1"/>
  <c r="S24" i="8"/>
  <c r="S34" i="8" s="1"/>
  <c r="T24" i="8"/>
  <c r="U24" i="8"/>
  <c r="U34" i="8" s="1"/>
  <c r="V24" i="8"/>
  <c r="V34" i="8" s="1"/>
  <c r="W24" i="8"/>
  <c r="W34" i="8" s="1"/>
  <c r="T18" i="8"/>
  <c r="T28" i="8" s="1"/>
  <c r="U18" i="8"/>
  <c r="U28" i="8" s="1"/>
  <c r="V18" i="8"/>
  <c r="V28" i="8" s="1"/>
  <c r="W18" i="8"/>
  <c r="W28" i="8" s="1"/>
  <c r="S18" i="8"/>
  <c r="S28" i="8" s="1"/>
  <c r="L43" i="11"/>
  <c r="K43" i="11"/>
  <c r="J43" i="11"/>
  <c r="I43" i="11"/>
  <c r="H43" i="11"/>
  <c r="G43" i="11"/>
  <c r="F43" i="11"/>
  <c r="E43" i="11"/>
  <c r="D43" i="11"/>
  <c r="C43" i="11"/>
  <c r="L42" i="11"/>
  <c r="K42" i="11"/>
  <c r="J42" i="11"/>
  <c r="I42" i="11"/>
  <c r="H42" i="11"/>
  <c r="G42" i="11"/>
  <c r="F42" i="11"/>
  <c r="E42" i="11"/>
  <c r="D42" i="11"/>
  <c r="C42" i="11"/>
  <c r="L41" i="11"/>
  <c r="K41" i="11"/>
  <c r="J41" i="11"/>
  <c r="I41" i="11"/>
  <c r="H41" i="11"/>
  <c r="G41" i="11"/>
  <c r="F41" i="11"/>
  <c r="E41" i="11"/>
  <c r="D41" i="11"/>
  <c r="C41" i="11"/>
  <c r="L40" i="11"/>
  <c r="K40" i="11"/>
  <c r="J40" i="11"/>
  <c r="I40" i="11"/>
  <c r="H40" i="11"/>
  <c r="G40" i="11"/>
  <c r="F40" i="11"/>
  <c r="E40" i="11"/>
  <c r="D40" i="11"/>
  <c r="C40" i="11"/>
  <c r="L39" i="11"/>
  <c r="K39" i="11"/>
  <c r="J39" i="11"/>
  <c r="I39" i="11"/>
  <c r="H39" i="11"/>
  <c r="G39" i="11"/>
  <c r="F39" i="11"/>
  <c r="E39" i="11"/>
  <c r="D39" i="11"/>
  <c r="C39" i="11"/>
  <c r="L38" i="11"/>
  <c r="K38" i="11"/>
  <c r="J38" i="11"/>
  <c r="I38" i="11"/>
  <c r="H38" i="11"/>
  <c r="G38" i="11"/>
  <c r="F38" i="11"/>
  <c r="E38" i="11"/>
  <c r="D38" i="11"/>
  <c r="C38" i="11"/>
  <c r="L37" i="11"/>
  <c r="K37" i="11"/>
  <c r="J37" i="11"/>
  <c r="I37" i="11"/>
  <c r="H37" i="11"/>
  <c r="G37" i="11"/>
  <c r="F37" i="11"/>
  <c r="E37" i="11"/>
  <c r="D37" i="11"/>
  <c r="C37" i="11"/>
  <c r="I34" i="11"/>
  <c r="I33" i="11"/>
  <c r="I32" i="11"/>
  <c r="I31" i="11"/>
  <c r="I30" i="11"/>
  <c r="I29" i="11"/>
  <c r="I28" i="11"/>
  <c r="I27" i="11"/>
  <c r="I26" i="11"/>
  <c r="I25" i="1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L43" i="10"/>
  <c r="K43" i="10"/>
  <c r="J43" i="10"/>
  <c r="I43" i="10"/>
  <c r="H43" i="10"/>
  <c r="G43" i="10"/>
  <c r="F43" i="10"/>
  <c r="E43" i="10"/>
  <c r="D43" i="10"/>
  <c r="C43" i="10"/>
  <c r="L42" i="10"/>
  <c r="K42" i="10"/>
  <c r="J42" i="10"/>
  <c r="I42" i="10"/>
  <c r="H42" i="10"/>
  <c r="G42" i="10"/>
  <c r="F42" i="10"/>
  <c r="E42" i="10"/>
  <c r="D42" i="10"/>
  <c r="C42" i="10"/>
  <c r="L41" i="10"/>
  <c r="K41" i="10"/>
  <c r="J41" i="10"/>
  <c r="I41" i="10"/>
  <c r="H41" i="10"/>
  <c r="G41" i="10"/>
  <c r="F41" i="10"/>
  <c r="E41" i="10"/>
  <c r="D41" i="10"/>
  <c r="C41" i="10"/>
  <c r="L40" i="10"/>
  <c r="K40" i="10"/>
  <c r="J40" i="10"/>
  <c r="I40" i="10"/>
  <c r="H40" i="10"/>
  <c r="G40" i="10"/>
  <c r="F40" i="10"/>
  <c r="E40" i="10"/>
  <c r="D40" i="10"/>
  <c r="C40" i="10"/>
  <c r="L39" i="10"/>
  <c r="K39" i="10"/>
  <c r="J39" i="10"/>
  <c r="I39" i="10"/>
  <c r="H39" i="10"/>
  <c r="G39" i="10"/>
  <c r="F39" i="10"/>
  <c r="E39" i="10"/>
  <c r="D39" i="10"/>
  <c r="C39" i="10"/>
  <c r="L38" i="10"/>
  <c r="K38" i="10"/>
  <c r="J38" i="10"/>
  <c r="I38" i="10"/>
  <c r="H38" i="10"/>
  <c r="G38" i="10"/>
  <c r="F38" i="10"/>
  <c r="E38" i="10"/>
  <c r="D38" i="10"/>
  <c r="C38" i="10"/>
  <c r="L37" i="10"/>
  <c r="K37" i="10"/>
  <c r="J37" i="10"/>
  <c r="I37" i="10"/>
  <c r="H37" i="10"/>
  <c r="G37" i="10"/>
  <c r="F37" i="10"/>
  <c r="E37" i="10"/>
  <c r="D37" i="10"/>
  <c r="C37" i="10"/>
  <c r="I34" i="10"/>
  <c r="I33" i="10"/>
  <c r="I32" i="10"/>
  <c r="I31" i="10"/>
  <c r="I30" i="10"/>
  <c r="I29" i="10"/>
  <c r="I28" i="10"/>
  <c r="I27" i="10"/>
  <c r="I26" i="10"/>
  <c r="I25" i="10"/>
  <c r="G14" i="10"/>
  <c r="G14" i="10" a="1"/>
  <c r="F14" i="10" a="1"/>
  <c r="F14" i="10" s="1"/>
  <c r="E14" i="10" a="1"/>
  <c r="E14" i="10" s="1"/>
  <c r="D14" i="10" a="1"/>
  <c r="D14" i="10" s="1"/>
  <c r="C14" i="10" a="1"/>
  <c r="C14" i="10" s="1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K14" i="10" s="1" a="1"/>
  <c r="K14" i="10" s="1"/>
  <c r="L4" i="10"/>
  <c r="J14" i="10" s="1" a="1"/>
  <c r="J14" i="10" s="1"/>
  <c r="K4" i="10"/>
  <c r="C38" i="8"/>
  <c r="D38" i="8"/>
  <c r="E38" i="8"/>
  <c r="F38" i="8"/>
  <c r="G38" i="8"/>
  <c r="H38" i="8"/>
  <c r="I38" i="8"/>
  <c r="J38" i="8"/>
  <c r="K38" i="8"/>
  <c r="L38" i="8"/>
  <c r="C39" i="8"/>
  <c r="D39" i="8"/>
  <c r="E39" i="8"/>
  <c r="F39" i="8"/>
  <c r="G39" i="8"/>
  <c r="H39" i="8"/>
  <c r="I39" i="8"/>
  <c r="J39" i="8"/>
  <c r="K39" i="8"/>
  <c r="L39" i="8"/>
  <c r="C40" i="8"/>
  <c r="D40" i="8"/>
  <c r="E40" i="8"/>
  <c r="F40" i="8"/>
  <c r="G40" i="8"/>
  <c r="H40" i="8"/>
  <c r="I40" i="8"/>
  <c r="J40" i="8"/>
  <c r="K40" i="8"/>
  <c r="L40" i="8"/>
  <c r="C41" i="8"/>
  <c r="D41" i="8"/>
  <c r="E41" i="8"/>
  <c r="F41" i="8"/>
  <c r="G41" i="8"/>
  <c r="H41" i="8"/>
  <c r="I41" i="8"/>
  <c r="J41" i="8"/>
  <c r="K41" i="8"/>
  <c r="L41" i="8"/>
  <c r="C42" i="8"/>
  <c r="D42" i="8"/>
  <c r="E42" i="8"/>
  <c r="F42" i="8"/>
  <c r="G42" i="8"/>
  <c r="H42" i="8"/>
  <c r="I42" i="8"/>
  <c r="J42" i="8"/>
  <c r="K42" i="8"/>
  <c r="L42" i="8"/>
  <c r="C43" i="8"/>
  <c r="D43" i="8"/>
  <c r="E43" i="8"/>
  <c r="F43" i="8"/>
  <c r="G43" i="8"/>
  <c r="H43" i="8"/>
  <c r="I43" i="8"/>
  <c r="J43" i="8"/>
  <c r="K43" i="8"/>
  <c r="L43" i="8"/>
  <c r="D37" i="8"/>
  <c r="F37" i="8"/>
  <c r="G37" i="8"/>
  <c r="H37" i="8"/>
  <c r="I37" i="8"/>
  <c r="J37" i="8"/>
  <c r="K37" i="8"/>
  <c r="L37" i="8"/>
  <c r="C37" i="8"/>
  <c r="K7" i="8"/>
  <c r="I25" i="8"/>
  <c r="I26" i="8"/>
  <c r="I27" i="8"/>
  <c r="I28" i="8"/>
  <c r="I29" i="8"/>
  <c r="I30" i="8"/>
  <c r="I31" i="8"/>
  <c r="I32" i="8"/>
  <c r="I33" i="8"/>
  <c r="I34" i="8"/>
  <c r="G14" i="8" a="1"/>
  <c r="G14" i="8" s="1"/>
  <c r="F14" i="8" a="1"/>
  <c r="F14" i="8" s="1"/>
  <c r="E14" i="8" a="1"/>
  <c r="E14" i="8" s="1"/>
  <c r="D14" i="8" a="1"/>
  <c r="D14" i="8" s="1"/>
  <c r="C14" i="8" a="1"/>
  <c r="C14" i="8" s="1"/>
  <c r="M10" i="8"/>
  <c r="L10" i="8"/>
  <c r="K10" i="8"/>
  <c r="M9" i="8"/>
  <c r="L9" i="8"/>
  <c r="K9" i="8"/>
  <c r="M8" i="8"/>
  <c r="L8" i="8"/>
  <c r="K8" i="8"/>
  <c r="M7" i="8"/>
  <c r="L7" i="8"/>
  <c r="M6" i="8"/>
  <c r="L6" i="8"/>
  <c r="K6" i="8"/>
  <c r="M5" i="8"/>
  <c r="L5" i="8"/>
  <c r="K5" i="8"/>
  <c r="M4" i="8"/>
  <c r="L4" i="8"/>
  <c r="K4" i="4"/>
  <c r="M4" i="7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J14" i="7" s="1" a="1"/>
  <c r="J14" i="7" s="1"/>
  <c r="K5" i="7"/>
  <c r="L4" i="7"/>
  <c r="K4" i="7"/>
  <c r="C14" i="4" a="1"/>
  <c r="C14" i="4" s="1"/>
  <c r="G14" i="4" a="1"/>
  <c r="G14" i="4" s="1"/>
  <c r="F14" i="4" a="1"/>
  <c r="F14" i="4" s="1"/>
  <c r="E14" i="4" a="1"/>
  <c r="E14" i="4" s="1"/>
  <c r="D14" i="4" a="1"/>
  <c r="D14" i="4" s="1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L44" i="8" l="1"/>
  <c r="B49" i="8"/>
  <c r="C44" i="8"/>
  <c r="J44" i="8"/>
  <c r="K44" i="8"/>
  <c r="H44" i="8"/>
  <c r="I44" i="8"/>
  <c r="G44" i="8"/>
  <c r="F44" i="8"/>
  <c r="D44" i="8"/>
  <c r="Z21" i="8"/>
  <c r="E44" i="8"/>
  <c r="M37" i="8"/>
  <c r="M40" i="8"/>
  <c r="M39" i="8"/>
  <c r="M41" i="8"/>
  <c r="M42" i="8"/>
  <c r="M43" i="8"/>
  <c r="M38" i="8"/>
  <c r="Z20" i="8"/>
  <c r="AA20" i="8"/>
  <c r="AA22" i="8"/>
  <c r="AA24" i="8"/>
  <c r="Z23" i="8"/>
  <c r="Y28" i="8"/>
  <c r="Y29" i="8"/>
  <c r="Y31" i="8"/>
  <c r="Y33" i="8"/>
  <c r="AA23" i="8"/>
  <c r="Y20" i="8"/>
  <c r="T34" i="8"/>
  <c r="Y34" i="8" s="1"/>
  <c r="T32" i="8"/>
  <c r="Y32" i="8" s="1"/>
  <c r="S30" i="8"/>
  <c r="Y30" i="8" s="1"/>
  <c r="Y19" i="8"/>
  <c r="Y30" i="12"/>
  <c r="Y20" i="12"/>
  <c r="Y24" i="12"/>
  <c r="Z24" i="12"/>
  <c r="U33" i="12"/>
  <c r="Y33" i="12" s="1"/>
  <c r="Y19" i="12"/>
  <c r="Y23" i="12"/>
  <c r="Z23" i="12"/>
  <c r="Z19" i="12"/>
  <c r="AA19" i="12"/>
  <c r="U32" i="12"/>
  <c r="Y32" i="12" s="1"/>
  <c r="Z22" i="12"/>
  <c r="Y18" i="12"/>
  <c r="Z18" i="12"/>
  <c r="S28" i="12"/>
  <c r="Y28" i="12" s="1"/>
  <c r="S31" i="12"/>
  <c r="Y31" i="12" s="1"/>
  <c r="Y21" i="12"/>
  <c r="Z22" i="8"/>
  <c r="Z24" i="8"/>
  <c r="Y24" i="8"/>
  <c r="AA19" i="8"/>
  <c r="Y21" i="8"/>
  <c r="AA18" i="8"/>
  <c r="AA21" i="8"/>
  <c r="Y22" i="8"/>
  <c r="Y23" i="8"/>
  <c r="Z19" i="8"/>
  <c r="Y18" i="8"/>
  <c r="Z18" i="8"/>
  <c r="K14" i="11" a="1"/>
  <c r="K14" i="11" s="1"/>
  <c r="J14" i="11" a="1"/>
  <c r="J14" i="11" s="1"/>
  <c r="K14" i="8" a="1"/>
  <c r="K14" i="8" s="1"/>
  <c r="J14" i="8" a="1"/>
  <c r="J14" i="8" s="1"/>
  <c r="K14" i="7" a="1"/>
  <c r="K14" i="7" s="1"/>
  <c r="J14" i="4" a="1"/>
  <c r="J14" i="4" s="1"/>
  <c r="K14" i="4" a="1"/>
  <c r="K14" i="4" s="1"/>
  <c r="M44" i="8" l="1"/>
  <c r="C47" i="8"/>
  <c r="B47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<sst xmlns="http://schemas.openxmlformats.org/spreadsheetml/2006/main" count="674" uniqueCount="165">
  <si>
    <t>Q1. Equal Weights</t>
  </si>
  <si>
    <t>Q2. Different Weights</t>
  </si>
  <si>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</si>
  <si>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</si>
  <si>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</si>
  <si>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</si>
  <si>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</si>
  <si>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</si>
  <si>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</si>
  <si>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</si>
  <si>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</si>
  <si>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</si>
  <si>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Q1. Min Cost&amp; Enve&amp;Social Risk</t>
  </si>
  <si>
    <t xml:space="preserve">Q2. Max Improvement </t>
  </si>
  <si>
    <t>A</t>
  </si>
  <si>
    <t>B</t>
  </si>
  <si>
    <t>C</t>
  </si>
  <si>
    <t>D</t>
  </si>
  <si>
    <t>E</t>
  </si>
  <si>
    <t>F</t>
  </si>
  <si>
    <t>G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</si>
  <si>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</si>
  <si>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</si>
  <si>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</si>
  <si>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</si>
  <si>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</si>
  <si>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</si>
  <si>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</si>
  <si>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</si>
  <si>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</si>
  <si>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</si>
  <si>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</si>
  <si>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</si>
  <si>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</si>
  <si>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</si>
  <si>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</si>
  <si>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</si>
  <si>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</si>
  <si>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</si>
  <si>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</si>
  <si>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without issues</t>
  </si>
  <si>
    <t>G &amp; D</t>
  </si>
  <si>
    <t>D &amp; G</t>
  </si>
  <si>
    <t>Notes</t>
  </si>
  <si>
    <t>Ideal supplier.</t>
  </si>
  <si>
    <r>
      <t xml:space="preserve">Good supplier with no compliance issues, but </t>
    </r>
    <r>
      <rPr>
        <b/>
        <sz val="11"/>
        <color theme="1"/>
        <rFont val="Calibri"/>
        <family val="2"/>
        <scheme val="minor"/>
      </rPr>
      <t>too costly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</si>
  <si>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0000"/>
        <rFont val="Calibri"/>
        <family val="2"/>
      </rPr>
      <t xml:space="preserve">Need to add requirements for </t>
    </r>
    <r>
      <rPr>
        <sz val="11"/>
        <color rgb="FFFF0000"/>
        <rFont val="Calibri"/>
        <family val="2"/>
      </rPr>
      <t>child labor.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</si>
  <si>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banned chemicals.</t>
    </r>
  </si>
  <si>
    <t>E/B</t>
  </si>
  <si>
    <r>
      <t xml:space="preserve">Can choose work on </t>
    </r>
    <r>
      <rPr>
        <sz val="11"/>
        <color theme="9" tint="-0.249977111117893"/>
        <rFont val="Calibri (Body)"/>
      </rPr>
      <t>quality problems</t>
    </r>
    <r>
      <rPr>
        <sz val="11"/>
        <color rgb="FFFFC000"/>
        <rFont val="Calibri (Body)"/>
      </rPr>
      <t xml:space="preserve"> </t>
    </r>
    <r>
      <rPr>
        <sz val="11"/>
        <color theme="1"/>
        <rFont val="Calibri"/>
        <family val="2"/>
        <scheme val="minor"/>
      </rPr>
      <t xml:space="preserve">instead of </t>
    </r>
    <r>
      <rPr>
        <sz val="11"/>
        <color rgb="FFFF0000"/>
        <rFont val="Calibri (Body)"/>
      </rPr>
      <t>A</t>
    </r>
    <r>
      <rPr>
        <sz val="11"/>
        <color theme="1"/>
        <rFont val="Calibri"/>
        <family val="2"/>
        <scheme val="minor"/>
      </rPr>
      <t xml:space="preserve"> or </t>
    </r>
    <r>
      <rPr>
        <sz val="11"/>
        <color rgb="FFFF0000"/>
        <rFont val="Calibri (Body)"/>
      </rPr>
      <t>C</t>
    </r>
    <r>
      <rPr>
        <sz val="11"/>
        <color theme="9"/>
        <rFont val="Calibri"/>
        <family val="2"/>
        <scheme val="minor"/>
      </rPr>
      <t>.</t>
    </r>
  </si>
  <si>
    <r>
      <t xml:space="preserve">High risk and suspected both </t>
    </r>
    <r>
      <rPr>
        <sz val="11"/>
        <color rgb="FFFF0000"/>
        <rFont val="Calibri"/>
        <family val="2"/>
        <scheme val="minor"/>
      </rPr>
      <t>child labor and banned chemicals</t>
    </r>
    <r>
      <rPr>
        <sz val="11"/>
        <color theme="1"/>
        <rFont val="Calibri"/>
        <family val="2"/>
        <scheme val="minor"/>
      </rPr>
      <t>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</si>
  <si>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child labor.</t>
    </r>
  </si>
  <si>
    <t>Users</t>
  </si>
  <si>
    <t>Utility Function</t>
  </si>
  <si>
    <t>Supplier/User</t>
  </si>
  <si>
    <t>Policy</t>
  </si>
  <si>
    <t>Effective Cost</t>
  </si>
  <si>
    <t>User Utilities</t>
  </si>
  <si>
    <t>Penalty1</t>
  </si>
  <si>
    <t>Penalty2</t>
  </si>
  <si>
    <t>Model</t>
  </si>
  <si>
    <t xml:space="preserve">Number of Matches </t>
  </si>
  <si>
    <t>Utility Threshold</t>
  </si>
  <si>
    <t>Objective</t>
  </si>
  <si>
    <t>Total</t>
  </si>
  <si>
    <t>Best Utility Supplier</t>
  </si>
  <si>
    <t>Min Cost Supplier</t>
  </si>
  <si>
    <t>Total Cost</t>
  </si>
  <si>
    <t>Selling Price</t>
  </si>
  <si>
    <t>H</t>
  </si>
  <si>
    <t>I</t>
  </si>
  <si>
    <t>J</t>
  </si>
  <si>
    <t>K</t>
  </si>
  <si>
    <t>0,07x1+ 0,28x2+ 0,39x3+ 0,1x4+ 0,1x5+ -0,27x6</t>
  </si>
  <si>
    <t>0,17x1+ 0,05x2+ 0,21x3+ 0,27x4+ 0,13x5+ -0,11x6</t>
  </si>
  <si>
    <t>0,05x1+ 0,11x2+ 0,34x3+ 0,17x4+ 0,12x5+ -0,18x6</t>
  </si>
  <si>
    <t>0,21x1+ 0,16x2+ 0,1x3+ 0,1x4+ 0,1x5+ -0,29x6</t>
  </si>
  <si>
    <t>0,26x1+ 0,15x2+ 0,65x3+ 0,13x4+ 0,1x5+ -0,3x6</t>
  </si>
  <si>
    <t>0,1x1+ 0,11x2+ 0,44x3+ 0,17x4+ 0,1x5+ -0,29x6</t>
  </si>
  <si>
    <t>0,19x1+ 0,23x2+ 0,18x3+ 0,3x4+ 0,17x5+ -0,1x6</t>
  </si>
  <si>
    <t>0,17x1+ 0,24x2+ 0,39x3+ 0,2x4+ 0,22x5+ -0,16x6</t>
  </si>
  <si>
    <t>0,11x1+ 0,2x2+ 0,36x3+ 0,28x4+ 0,21x5+ -0,16x6</t>
  </si>
  <si>
    <t>0,06x1+ 0,2x2+ 0,1x3+ 0,18x4+ 0,1x5+ -0,13x6</t>
  </si>
  <si>
    <t>0,05x1+ 0,12x2+ 0,1x3+ 0,26x4+ 0,1x5+ -0,12x6</t>
  </si>
  <si>
    <t>0,29x1+ 0,05x2+ 0,1x3+ 0,27x4+ 0,1x5+ -0,14x6</t>
  </si>
  <si>
    <t>0,14x1+ 0,29x2+ 0,65x3+ 0,22x4+ 0,26x5+ -0,24x6</t>
  </si>
  <si>
    <t>0,3x1+ 0,05x2+ 0,1x3+ 0,13x4+ 0,17x5+ -0,15x6</t>
  </si>
  <si>
    <t>0,23x1+ 0,29x2+ 0,25x3+ 0,24x4+ 0,1x5+ -0,1x6</t>
  </si>
  <si>
    <t>0,18x1+ 0,12x2+ 0,48x3+ 0,1x4+ 0,1x5+ -0,1x6</t>
  </si>
  <si>
    <t>0,08x1+ 0,14x2+ 0,23x3+ 0,27x4+ 0,1x5+ -0,2x6</t>
  </si>
  <si>
    <t>0,29x1+ 0,11x2+ 0,64x3+ 0,1x4+ 0,12x5+ -0,1x6</t>
  </si>
  <si>
    <t>0,1x1+ 0,2x2+ 0,1x3+ 0,1x4+ 0,1x5+ -0,25x6</t>
  </si>
  <si>
    <t>0,3x1+ 0,09x2+ 0,47x3+ 0,32x4+ 0,12x5+ -0,15x6</t>
  </si>
  <si>
    <t>0,11x1+ 0,27x2+ 0,1x3+ 0,1x4+ 0,25x5+ -0,15x6</t>
  </si>
  <si>
    <t>0,17x1+ 0,17x2+ 0,51x3+ 0,14x4+ 0,1x5+ -0,21x6</t>
  </si>
  <si>
    <t>0,05x1+ 0,14x2+ 0,51x3+ 0,1x4+ 0,2x5+ -0,16x6</t>
  </si>
  <si>
    <t>0,3x1+ 0,08x2+ 0,42x3+ 0,1x4+ 0,1x5+ -0,25x6</t>
  </si>
  <si>
    <t>0,14x1+ 0,15x2+ 0,4x3+ 0,1x4+ 0,15x5+ -0,1x6</t>
  </si>
  <si>
    <t>0,11x1+ 0,13x2+ 0,4x3+ 0,1x4+ 0,15x5+ -0,1x6</t>
  </si>
  <si>
    <t>0,23x1+ 0,27x2+ 0,55x3+ 0,25x4+ 0,1x5+ -0,3x6</t>
  </si>
  <si>
    <t>0,06x1+ 0,2x2+ 0,58x3+ 0,1x4+ 0,26x5+ -0,2x6</t>
  </si>
  <si>
    <t>0,22x1+ 0,05x2+ 0,1x3+ 0,1x4+ 0,12x5+ -0,1x6</t>
  </si>
  <si>
    <t>0,05x1+ 0,25x2+ 0,6x3+ 0,24x4+ 0,1x5+ -0,3x6</t>
  </si>
  <si>
    <t>0,2x1+ 0,05x2+ 0,1x3+ 0,2x4+ 0,1x5+ -0,1x6</t>
  </si>
  <si>
    <t>0,05x1+ 0,25x2+ 0,37x3+ 0,1x4+ 0,21x5+ -0,3x6</t>
  </si>
  <si>
    <t>0,05x1+ 0,05x2+ 0,26x3+ 0,1x4+ 0,1x5+ -0,3x6</t>
  </si>
  <si>
    <t>0,09x1+ 0,13x2+ 0,45x3+ 0,23x4+ 0,13x5+ -0,27x6</t>
  </si>
  <si>
    <t>0,05x1+ 0,19x2+ 0,24x3+ 0,1x4+ 0,1x5+ -0,19x6</t>
  </si>
  <si>
    <t>0,2x1+ 0,13x2+ 0,43x3+ 0,1x4+ 0,14x5+ -0,12x6</t>
  </si>
  <si>
    <t>0,15x1+ 0,05x2+ 0,2x3+ 0,1x4+ 0,1x5+ -0,27x6</t>
  </si>
  <si>
    <t>0,2x1+ 0,22x2+ 0,1x3+ 0,1x4+ 0,11x5+ -0,16x6</t>
  </si>
  <si>
    <t>0,16x1+ 0,05x2+ 0,61x3+ 0,1x4+ 0,19x5+ -0,28x6</t>
  </si>
  <si>
    <t>0,11x1+ 0,05x2+ 0,48x3+ 0,2x4+ 0,12x5+ -0,17x6</t>
  </si>
  <si>
    <t>0,15x1+ 0,23x2+ 0,46x3+ 0,27x4+ 0,17x5+ -0,1x6</t>
  </si>
  <si>
    <t>0,25x1+ 0,06x2+ 0,58x3+ 0,12x4+ 0,19x5+ -0,13x6</t>
  </si>
  <si>
    <t>0,13x1+ 0,15x2+ 0,1x3+ 0,12x4+ 0,16x5+ -0,2x6</t>
  </si>
  <si>
    <t>0,07x1+ 0,19x2+ 0,57x3+ 0,18x4+ 0,14x5+ -0,15x6</t>
  </si>
  <si>
    <t>0,05x1+ 0,12x2+ 0,1x3+ 0,14x4+ 0,12x5+ -0,2x6</t>
  </si>
  <si>
    <t>0,13x1+ 0,15x2+ 0,43x3+ 0,18x4+ 0,18x5+ -0,11x6</t>
  </si>
  <si>
    <t>0,07x1+ 0,14x2+ 0,28x3+ 0,1x4+ 0,24x5+ -0,3x6</t>
  </si>
  <si>
    <t>0,3x1+ 0,14x2+ 0,4x3+ 0,13x4+ 0,3x5+ -0,15x6</t>
  </si>
  <si>
    <t>0,05x1+ 0,22x2+ 0,51x3+ 0,18x4+ 0,3x5+ -0,24x6</t>
  </si>
  <si>
    <t>0,05x1+ 0,2x2+ 0,33x3+ 0,19x4+ 0,1x5+ -0,1x6</t>
  </si>
  <si>
    <t>0,12x1+ 0,15x2+ 0,1x3+ 0,1x4+ 0,15x5+ -0,26x6</t>
  </si>
  <si>
    <t>0,21x1+ 0,2x2+ 0,57x3+ 0,21x4+ 0,17x5+ -0,3x6</t>
  </si>
  <si>
    <t>0,12x1+ 0,08x2+ 0,64x3+ 0,14x4+ 0,24x5+ -0,24x6</t>
  </si>
  <si>
    <t>0,05x1+ 0,07x2+ 0,51x3+ 0,14x4+ 0,22x5+ -0,17x6</t>
  </si>
  <si>
    <t>0,07x1+ 0,05x2+ 0,6x3+ 0,1x4+ 0,1x5+ -0,11x6</t>
  </si>
  <si>
    <t>0,11x1+ 0,19x2+ 0,1x3+ 0,13x4+ 0,14x5+ -0,24x6</t>
  </si>
  <si>
    <t>0,25x1+ 0,25x2+ 0,34x3+ 0,1x4+ 0,1x5+ -0,24x6</t>
  </si>
  <si>
    <t>0,05x1+ 0,13x2+ 0,29x3+ 0,1x4+ 0,1x5+ -0,1x6</t>
  </si>
  <si>
    <t>0,14x1+ 0,05x2+ 0,1x3+ 0,14x4+ 0,1x5+ -0,19x6</t>
  </si>
  <si>
    <t>0,09x1+ 0,09x2+ 0,35x3+ 0,13x4+ 0,1x5+ -0,24x6</t>
  </si>
  <si>
    <t>0,18x1+ 0,16x2+ 0,33x3+ 0,13x4+ 0,28x5+ -0,12x6</t>
  </si>
  <si>
    <t>0,19x1+ 0,15x2+ 0,1x3+ 0,15x4+ 0,1x5+ -0,24x6</t>
  </si>
  <si>
    <t>0,05x1+ 0,13x2+ 0,1x3+ 0,13x4+ 0,1x5+ -0,17x6</t>
  </si>
  <si>
    <t>0,3x1+ 0,2x2+ 0,35x3+ 0,24x4+ 0,13x5+ -0,3x6</t>
  </si>
  <si>
    <t>0,17x1+ 0,2x2+ 0,48x3+ 0,21x4+ 0,23x5+ -0,1x6</t>
  </si>
  <si>
    <t>0,1x1+ 0,05x2+ 0,51x3+ 0,29x4+ 0,1x5+ -0,24x6</t>
  </si>
  <si>
    <t>0,06x1+ 0,16x2+ 0,1x3+ 0,35x4+ 0,28x5+ -0,2x6</t>
  </si>
  <si>
    <t>0,12x1+ 0,07x2+ 0,1x3+ 0,21x4+ 0,1x5+ -0,1x6</t>
  </si>
  <si>
    <t>0,15x1+ 0,14x2+ 0,19x3+ 0,21x4+ 0,1x5+ -0,11x6</t>
  </si>
  <si>
    <t>0,21x1+ 0,22x2+ 0,31x3+ 0,32x4+ 0,13x5+ -0,12x6</t>
  </si>
  <si>
    <t>0,15x1+ 0,27x2+ 0,17x3+ 0,1x4+ 0,19x5+ -0,27x6</t>
  </si>
  <si>
    <t>0,2x1+ 0,18x2+ 0,27x3+ 0,1x4+ 0,3x5+ -0,16x6</t>
  </si>
  <si>
    <t>0,05x1+ 0,09x2+ 0,51x3+ 0,16x4+ 0,21x5+ -0,19x6</t>
  </si>
  <si>
    <t>0,07x1+ 0,1x2+ 0,51x3+ 0,1x4+ 0,1x5+ -0,2x6</t>
  </si>
  <si>
    <t>0,05x1+ 0,17x2+ 0,36x3+ 0,23x4+ 0,1x5+ -0,3x6</t>
  </si>
  <si>
    <t>0,17x1+ 0,05x2+ 0,1x3+ 0,29x4+ 0,1x5+ -0,17x6</t>
  </si>
  <si>
    <t>0,19x1+ 0,12x2+ 0,2x3+ 0,1x4+ 0,18x5+ -0,3x6</t>
  </si>
  <si>
    <t>0,05x1+ 0,17x2+ 0,47x3+ 0,1x4+ 0,2x5+ -0,18x6</t>
  </si>
  <si>
    <t>0,13x1+ 0,2x2+ 0,55x3+ 0,22x4+ 0,1x5+ -0,1x6</t>
  </si>
  <si>
    <t>0,22x1+ 0,1x2+ 0,61x3+ 0,27x4+ 0,23x5+ -0,12x6</t>
  </si>
  <si>
    <t>0,24x1+ 0,16x2+ 0,1x3+ 0,1x4+ 0,1x5+ -0,1x6</t>
  </si>
  <si>
    <t>0,05x1+ 0,23x2+ 0,2x3+ 0,18x4+ 0,1x5+ -0,16x6</t>
  </si>
  <si>
    <t>0,2x1+ 0,15x2+ 0,1x3+ 0,11x4+ 0,1x5+ -0,1x6</t>
  </si>
  <si>
    <t>0,18x1+ 0,05x2+ 0,1x3+ 0,1x4+ 0,1x5+ -0,11x6</t>
  </si>
  <si>
    <t>0,11x1+ 0,14x2+ 0,1x3+ 0,1x4+ 0,1x5+ -0,3x6</t>
  </si>
  <si>
    <t>L</t>
  </si>
  <si>
    <t>M</t>
  </si>
  <si>
    <t>N</t>
  </si>
  <si>
    <t>O</t>
  </si>
  <si>
    <t>P</t>
  </si>
  <si>
    <t>Q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</si>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</sst>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trike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C000"/>
      <name val="Calibri (Body)"/>
    </font>
    <font>
      <sz val="11"/>
      <color rgb="FFFF0000"/>
      <name val="Calibri (Body)"/>
    </font>
    <font>
      <sz val="11"/>
      <color theme="9" tint="-0.249977111117893"/>
      <name val="Calibri (Body)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7" fillId="0" borderId="0" xfId="0" applyFont="1"/>
    <xf numFmtId="0" fontId="7" fillId="0" borderId="1" xfId="0" applyFont="1" applyBorder="1"/>
    <xf numFmtId="0" fontId="7" fillId="0" borderId="4" xfId="0" applyFont="1" applyBorder="1"/>
    <xf numFmtId="0" fontId="4" fillId="11" borderId="1" xfId="0" applyFont="1" applyFill="1" applyBorder="1"/>
    <xf numFmtId="0" fontId="8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9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13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vertical="center" wrapText="1"/>
    </xf>
    <xf numFmtId="0" fontId="1" fillId="2" borderId="9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2" fontId="0" fillId="0" borderId="1" xfId="0" applyNumberFormat="1" applyBorder="1"/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FB7B-F740-D647-AAB6-CBE8933C7908}">
  <dimension ref="A1:R31"/>
  <sheetViews>
    <sheetView showGridLines="0" zoomScale="70" zoomScaleNormal="70" workbookViewId="0">
      <selection activeCell="K22" sqref="K22"/>
    </sheetView>
  </sheetViews>
  <sheetFormatPr defaultColWidth="8.6640625" defaultRowHeight="14.4"/>
  <cols>
    <col min="1" max="1" width="8.6640625" customWidth="1"/>
    <col min="2" max="2" width="19" style="3" bestFit="1" customWidth="1"/>
    <col min="3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64" t="s">
        <v>21</v>
      </c>
      <c r="C12" s="65" t="s">
        <v>3</v>
      </c>
      <c r="D12" s="67" t="s">
        <v>4</v>
      </c>
      <c r="E12" s="67" t="s">
        <v>5</v>
      </c>
      <c r="F12" s="67" t="s">
        <v>6</v>
      </c>
      <c r="G12" s="62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64"/>
      <c r="C13" s="66"/>
      <c r="D13" s="68"/>
      <c r="E13" s="68"/>
      <c r="F13" s="68"/>
      <c r="G13" s="63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2" spans="1:18">
      <c r="I22" t="s">
        <v>40</v>
      </c>
      <c r="J22" t="s">
        <v>41</v>
      </c>
      <c r="K22" t="s">
        <v>42</v>
      </c>
    </row>
    <row r="23" spans="1:18">
      <c r="B23" s="56" t="s">
        <v>2</v>
      </c>
      <c r="C23" s="58" t="s">
        <v>43</v>
      </c>
      <c r="D23" s="59"/>
      <c r="E23" s="59"/>
      <c r="F23" s="59"/>
    </row>
    <row r="24" spans="1:18">
      <c r="B24" s="57"/>
      <c r="C24" s="58"/>
      <c r="D24" s="59"/>
      <c r="E24" s="59"/>
      <c r="F24" s="59"/>
    </row>
    <row r="25" spans="1:18">
      <c r="B25" s="7" t="s">
        <v>20</v>
      </c>
      <c r="C25" s="60" t="s">
        <v>44</v>
      </c>
      <c r="D25" s="60"/>
      <c r="E25" s="60"/>
      <c r="F25" s="60"/>
    </row>
    <row r="26" spans="1:18">
      <c r="B26" s="7" t="s">
        <v>17</v>
      </c>
      <c r="C26" s="60" t="s">
        <v>45</v>
      </c>
      <c r="D26" s="60"/>
      <c r="E26" s="60"/>
      <c r="F26" s="60"/>
    </row>
    <row r="27" spans="1:18">
      <c r="B27" s="12" t="s">
        <v>14</v>
      </c>
      <c r="C27" s="61" t="s">
        <v>46</v>
      </c>
      <c r="D27" s="60"/>
      <c r="E27" s="60"/>
      <c r="F27" s="60"/>
    </row>
    <row r="28" spans="1:18">
      <c r="B28" s="12" t="s">
        <v>16</v>
      </c>
      <c r="C28" s="60" t="s">
        <v>47</v>
      </c>
      <c r="D28" s="60"/>
      <c r="E28" s="60"/>
      <c r="F28" s="60"/>
    </row>
    <row r="29" spans="1:18">
      <c r="B29" s="13" t="s">
        <v>48</v>
      </c>
      <c r="C29" s="53" t="s">
        <v>49</v>
      </c>
      <c r="D29" s="54"/>
      <c r="E29" s="54"/>
      <c r="F29" s="55"/>
    </row>
    <row r="30" spans="1:18">
      <c r="B30" s="12" t="s">
        <v>19</v>
      </c>
      <c r="C30" s="53" t="s">
        <v>50</v>
      </c>
      <c r="D30" s="54"/>
      <c r="E30" s="54"/>
      <c r="F30" s="55"/>
    </row>
    <row r="31" spans="1:18">
      <c r="B31"/>
    </row>
  </sheetData>
  <mergeCells count="14">
    <mergeCell ref="G12:G13"/>
    <mergeCell ref="B12:B13"/>
    <mergeCell ref="C12:C13"/>
    <mergeCell ref="D12:D13"/>
    <mergeCell ref="E12:E13"/>
    <mergeCell ref="F12:F13"/>
    <mergeCell ref="C29:F29"/>
    <mergeCell ref="C30:F30"/>
    <mergeCell ref="B23:B24"/>
    <mergeCell ref="C23:F24"/>
    <mergeCell ref="C25:F25"/>
    <mergeCell ref="C26:F26"/>
    <mergeCell ref="C27:F27"/>
    <mergeCell ref="C28:F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1D23-A9BF-4888-82FF-4B380FFFC271}">
  <dimension ref="A1:L19"/>
  <sheetViews>
    <sheetView tabSelected="1" workbookViewId="0">
      <selection activeCell="G14" sqref="G14"/>
    </sheetView>
  </sheetViews>
  <sheetFormatPr defaultRowHeight="14.4"/>
  <cols>
    <col min="1" max="1" width="18.5546875" bestFit="1" customWidth="1"/>
    <col min="2" max="2" width="8.6640625" bestFit="1" customWidth="1"/>
    <col min="11" max="11" width="8.77734375" bestFit="1" customWidth="1"/>
  </cols>
  <sheetData>
    <row r="1" spans="1:12" ht="55.2">
      <c r="A1" s="78" t="s">
        <v>2</v>
      </c>
      <c r="B1" s="81" t="s">
        <v>3</v>
      </c>
      <c r="C1" s="81" t="s">
        <v>4</v>
      </c>
      <c r="D1" s="81" t="s">
        <v>5</v>
      </c>
      <c r="E1" s="81" t="s">
        <v>6</v>
      </c>
      <c r="F1" s="81" t="s">
        <v>7</v>
      </c>
      <c r="G1" s="82" t="s">
        <v>8</v>
      </c>
      <c r="H1" s="82" t="s">
        <v>9</v>
      </c>
      <c r="I1" s="83" t="s">
        <v>10</v>
      </c>
      <c r="J1" s="85" t="s">
        <v>11</v>
      </c>
      <c r="K1" s="14" t="s">
        <v>12</v>
      </c>
      <c r="L1" s="18" t="s">
        <v>13</v>
      </c>
    </row>
    <row r="2" spans="1:12">
      <c r="A2" s="80" t="s">
        <v>14</v>
      </c>
      <c r="B2" s="77">
        <v>2</v>
      </c>
      <c r="C2" s="77">
        <v>5</v>
      </c>
      <c r="D2" s="77">
        <v>2</v>
      </c>
      <c r="E2" s="77">
        <v>1</v>
      </c>
      <c r="F2" s="77">
        <v>2</v>
      </c>
      <c r="G2" s="79">
        <v>0</v>
      </c>
      <c r="H2" s="79">
        <v>1</v>
      </c>
      <c r="I2" s="79">
        <v>1</v>
      </c>
      <c r="J2" s="76">
        <v>12</v>
      </c>
      <c r="K2" s="26" t="e">
        <f>SUMPRODUCT(#REF!,B2:D2)/SUM(#REF!)</f>
        <v>#REF!</v>
      </c>
      <c r="L2" s="26" t="e">
        <f>SUMPRODUCT(B2:F2,#REF!)/SUM(#REF!)</f>
        <v>#REF!</v>
      </c>
    </row>
    <row r="3" spans="1:12">
      <c r="A3" s="80" t="s">
        <v>15</v>
      </c>
      <c r="B3" s="77">
        <v>5</v>
      </c>
      <c r="C3" s="77">
        <v>2</v>
      </c>
      <c r="D3" s="77">
        <v>2</v>
      </c>
      <c r="E3" s="77">
        <v>2</v>
      </c>
      <c r="F3" s="77">
        <v>4</v>
      </c>
      <c r="G3" s="79">
        <v>0</v>
      </c>
      <c r="H3" s="79">
        <v>0</v>
      </c>
      <c r="I3" s="79">
        <v>0</v>
      </c>
      <c r="J3" s="76">
        <v>15</v>
      </c>
      <c r="K3" s="84" t="e">
        <f>SUMPRODUCT(#REF!,B3:D3)/SUM(#REF!)</f>
        <v>#REF!</v>
      </c>
      <c r="L3" s="84" t="e">
        <f>SUMPRODUCT(B3:F3,#REF!)/SUM(#REF!)</f>
        <v>#REF!</v>
      </c>
    </row>
    <row r="4" spans="1:12">
      <c r="A4" s="80" t="s">
        <v>16</v>
      </c>
      <c r="B4" s="77">
        <v>2</v>
      </c>
      <c r="C4" s="77">
        <v>5</v>
      </c>
      <c r="D4" s="77">
        <v>5</v>
      </c>
      <c r="E4" s="77">
        <v>2</v>
      </c>
      <c r="F4" s="77">
        <v>5</v>
      </c>
      <c r="G4" s="79">
        <v>0</v>
      </c>
      <c r="H4" s="79">
        <v>0</v>
      </c>
      <c r="I4" s="79">
        <v>0</v>
      </c>
      <c r="J4" s="76">
        <v>19</v>
      </c>
      <c r="K4" s="84" t="e">
        <f>SUMPRODUCT(#REF!,B4:D4)/SUM(#REF!)</f>
        <v>#REF!</v>
      </c>
      <c r="L4" s="84" t="e">
        <f>SUMPRODUCT(B4:F4,#REF!)/SUM(#REF!)</f>
        <v>#REF!</v>
      </c>
    </row>
    <row r="5" spans="1:12">
      <c r="A5" s="80" t="s">
        <v>17</v>
      </c>
      <c r="B5" s="77">
        <v>2</v>
      </c>
      <c r="C5" s="77">
        <v>2</v>
      </c>
      <c r="D5" s="77">
        <v>1</v>
      </c>
      <c r="E5" s="77">
        <v>4</v>
      </c>
      <c r="F5" s="77">
        <v>2</v>
      </c>
      <c r="G5" s="79">
        <v>0</v>
      </c>
      <c r="H5" s="79">
        <v>1</v>
      </c>
      <c r="I5" s="79">
        <v>0</v>
      </c>
      <c r="J5" s="76">
        <v>11</v>
      </c>
      <c r="K5" s="84" t="e">
        <f>SUMPRODUCT(#REF!,B5:D5)/SUM(#REF!)</f>
        <v>#REF!</v>
      </c>
      <c r="L5" s="84" t="e">
        <f>SUMPRODUCT(B5:F5,#REF!)/SUM(#REF!)</f>
        <v>#REF!</v>
      </c>
    </row>
    <row r="6" spans="1:12">
      <c r="A6" s="80" t="s">
        <v>18</v>
      </c>
      <c r="B6" s="77">
        <v>1</v>
      </c>
      <c r="C6" s="77">
        <v>5</v>
      </c>
      <c r="D6" s="77">
        <v>2</v>
      </c>
      <c r="E6" s="77">
        <v>2</v>
      </c>
      <c r="F6" s="77">
        <v>5</v>
      </c>
      <c r="G6" s="79">
        <v>0</v>
      </c>
      <c r="H6" s="79">
        <v>1</v>
      </c>
      <c r="I6" s="79">
        <v>1</v>
      </c>
      <c r="J6" s="76">
        <v>15</v>
      </c>
      <c r="K6" s="84" t="e">
        <f>SUMPRODUCT(#REF!,B6:D6)/SUM(#REF!)</f>
        <v>#REF!</v>
      </c>
      <c r="L6" s="84" t="e">
        <f>SUMPRODUCT(B6:F6,#REF!)/SUM(#REF!)</f>
        <v>#REF!</v>
      </c>
    </row>
    <row r="7" spans="1:12">
      <c r="A7" s="80" t="s">
        <v>19</v>
      </c>
      <c r="B7" s="77">
        <v>2</v>
      </c>
      <c r="C7" s="77">
        <v>2</v>
      </c>
      <c r="D7" s="77">
        <v>5</v>
      </c>
      <c r="E7" s="77">
        <v>1</v>
      </c>
      <c r="F7" s="77">
        <v>5</v>
      </c>
      <c r="G7" s="79">
        <v>1</v>
      </c>
      <c r="H7" s="79">
        <v>0</v>
      </c>
      <c r="I7" s="79">
        <v>0</v>
      </c>
      <c r="J7" s="76">
        <v>15</v>
      </c>
      <c r="K7" s="84" t="e">
        <f>SUMPRODUCT(#REF!,B7:D7)/SUM(#REF!)</f>
        <v>#REF!</v>
      </c>
      <c r="L7" s="84" t="e">
        <f>SUMPRODUCT(B7:F7,#REF!)/SUM(#REF!)</f>
        <v>#REF!</v>
      </c>
    </row>
    <row r="8" spans="1:12">
      <c r="A8" s="80" t="s">
        <v>20</v>
      </c>
      <c r="B8" s="77">
        <v>1</v>
      </c>
      <c r="C8" s="77">
        <v>2</v>
      </c>
      <c r="D8" s="77">
        <v>2</v>
      </c>
      <c r="E8" s="77">
        <v>3</v>
      </c>
      <c r="F8" s="77">
        <v>5</v>
      </c>
      <c r="G8" s="79">
        <v>0</v>
      </c>
      <c r="H8" s="79">
        <v>1</v>
      </c>
      <c r="I8" s="79">
        <v>0</v>
      </c>
      <c r="J8" s="76">
        <v>13</v>
      </c>
      <c r="K8" s="84" t="e">
        <f>SUMPRODUCT(#REF!,B8:D8)/SUM(#REF!)</f>
        <v>#REF!</v>
      </c>
      <c r="L8" s="84" t="e">
        <f>SUMPRODUCT(B8:F8,#REF!)/SUM(#REF!)</f>
        <v>#REF!</v>
      </c>
    </row>
    <row r="9" spans="1:12">
      <c r="A9" s="80" t="s">
        <v>69</v>
      </c>
      <c r="B9" s="77">
        <v>2</v>
      </c>
      <c r="C9" s="77">
        <v>5</v>
      </c>
      <c r="D9" s="77">
        <v>2</v>
      </c>
      <c r="E9" s="77">
        <v>2</v>
      </c>
      <c r="F9" s="77">
        <v>5</v>
      </c>
      <c r="G9" s="79">
        <v>1</v>
      </c>
      <c r="H9" s="79">
        <v>0</v>
      </c>
      <c r="I9" s="79">
        <v>0</v>
      </c>
      <c r="J9" s="76">
        <v>16</v>
      </c>
      <c r="K9" s="84" t="e">
        <f>SUMPRODUCT(#REF!,B9:D9)/SUM(#REF!)</f>
        <v>#REF!</v>
      </c>
      <c r="L9" s="84" t="e">
        <f>SUMPRODUCT(B9:F9,#REF!)/SUM(#REF!)</f>
        <v>#REF!</v>
      </c>
    </row>
    <row r="10" spans="1:12">
      <c r="A10" s="80" t="s">
        <v>70</v>
      </c>
      <c r="B10" s="77">
        <v>2</v>
      </c>
      <c r="C10" s="77">
        <v>2</v>
      </c>
      <c r="D10" s="77">
        <v>2</v>
      </c>
      <c r="E10" s="77">
        <v>2</v>
      </c>
      <c r="F10" s="77">
        <v>2</v>
      </c>
      <c r="G10" s="79">
        <v>1</v>
      </c>
      <c r="H10" s="79">
        <v>0</v>
      </c>
      <c r="I10" s="79">
        <v>0</v>
      </c>
      <c r="J10" s="76">
        <v>10</v>
      </c>
      <c r="K10" s="84" t="e">
        <f>SUMPRODUCT(#REF!,B10:D10)/SUM(#REF!)</f>
        <v>#REF!</v>
      </c>
      <c r="L10" s="84" t="e">
        <f>SUMPRODUCT(B10:F10,#REF!)/SUM(#REF!)</f>
        <v>#REF!</v>
      </c>
    </row>
    <row r="11" spans="1:12">
      <c r="A11" s="80" t="s">
        <v>71</v>
      </c>
      <c r="B11" s="77">
        <v>5</v>
      </c>
      <c r="C11" s="77">
        <v>2</v>
      </c>
      <c r="D11" s="77">
        <v>1</v>
      </c>
      <c r="E11" s="77">
        <v>4</v>
      </c>
      <c r="F11" s="77">
        <v>2</v>
      </c>
      <c r="G11" s="79">
        <v>1</v>
      </c>
      <c r="H11" s="79">
        <v>1</v>
      </c>
      <c r="I11" s="79">
        <v>0</v>
      </c>
      <c r="J11" s="76">
        <v>14</v>
      </c>
      <c r="K11" s="84" t="e">
        <f>SUMPRODUCT(#REF!,B11:D11)/SUM(#REF!)</f>
        <v>#REF!</v>
      </c>
      <c r="L11" s="84" t="e">
        <f>SUMPRODUCT(B11:F11,#REF!)/SUM(#REF!)</f>
        <v>#REF!</v>
      </c>
    </row>
    <row r="12" spans="1:12">
      <c r="A12" s="80" t="s">
        <v>72</v>
      </c>
      <c r="B12" s="77">
        <v>5</v>
      </c>
      <c r="C12" s="77">
        <v>2</v>
      </c>
      <c r="D12" s="77">
        <v>2</v>
      </c>
      <c r="E12" s="77">
        <v>2</v>
      </c>
      <c r="F12" s="77">
        <v>2</v>
      </c>
      <c r="G12" s="79">
        <v>1</v>
      </c>
      <c r="H12" s="79">
        <v>1</v>
      </c>
      <c r="I12" s="79">
        <v>1</v>
      </c>
      <c r="J12" s="76">
        <v>13</v>
      </c>
      <c r="K12" s="84" t="e">
        <f>SUMPRODUCT(#REF!,B12:D12)/SUM(#REF!)</f>
        <v>#REF!</v>
      </c>
      <c r="L12" s="84" t="e">
        <f>SUMPRODUCT(B12:F12,#REF!)/SUM(#REF!)</f>
        <v>#REF!</v>
      </c>
    </row>
    <row r="13" spans="1:12">
      <c r="A13" s="80" t="s">
        <v>158</v>
      </c>
      <c r="B13" s="77">
        <v>5</v>
      </c>
      <c r="C13" s="77">
        <v>2</v>
      </c>
      <c r="D13" s="77">
        <v>2</v>
      </c>
      <c r="E13" s="77">
        <v>2</v>
      </c>
      <c r="F13" s="77">
        <v>2</v>
      </c>
      <c r="G13" s="79">
        <v>0</v>
      </c>
      <c r="H13" s="79">
        <v>1</v>
      </c>
      <c r="I13" s="79">
        <v>1</v>
      </c>
      <c r="J13" s="76">
        <v>13</v>
      </c>
      <c r="K13" s="84" t="e">
        <f>SUMPRODUCT(#REF!,B13:D13)/SUM(#REF!)</f>
        <v>#REF!</v>
      </c>
      <c r="L13" s="84" t="e">
        <f>SUMPRODUCT(B13:F13,#REF!)/SUM(#REF!)</f>
        <v>#REF!</v>
      </c>
    </row>
    <row r="14" spans="1:12">
      <c r="A14" s="80" t="s">
        <v>159</v>
      </c>
      <c r="B14" s="77">
        <v>3</v>
      </c>
      <c r="C14" s="77">
        <v>5</v>
      </c>
      <c r="D14" s="77">
        <v>2</v>
      </c>
      <c r="E14" s="77">
        <v>2</v>
      </c>
      <c r="F14" s="77">
        <v>2</v>
      </c>
      <c r="G14" s="79">
        <v>0</v>
      </c>
      <c r="H14" s="79">
        <v>0</v>
      </c>
      <c r="I14" s="79">
        <v>0</v>
      </c>
      <c r="J14" s="76">
        <v>14</v>
      </c>
      <c r="K14" s="84" t="e">
        <f>SUMPRODUCT(#REF!,B14:D14)/SUM(#REF!)</f>
        <v>#REF!</v>
      </c>
      <c r="L14" s="84" t="e">
        <f>SUMPRODUCT(B14:F14,#REF!)/SUM(#REF!)</f>
        <v>#REF!</v>
      </c>
    </row>
    <row r="15" spans="1:12">
      <c r="A15" s="80" t="s">
        <v>160</v>
      </c>
      <c r="B15" s="77">
        <v>2</v>
      </c>
      <c r="C15" s="77">
        <v>2</v>
      </c>
      <c r="D15" s="77">
        <v>2</v>
      </c>
      <c r="E15" s="77">
        <v>2</v>
      </c>
      <c r="F15" s="77">
        <v>2</v>
      </c>
      <c r="G15" s="79">
        <v>1</v>
      </c>
      <c r="H15" s="79">
        <v>0</v>
      </c>
      <c r="I15" s="79">
        <v>0</v>
      </c>
      <c r="J15" s="76">
        <v>10</v>
      </c>
      <c r="K15" s="84" t="e">
        <f>SUMPRODUCT(#REF!,B15:D15)/SUM(#REF!)</f>
        <v>#REF!</v>
      </c>
      <c r="L15" s="84" t="e">
        <f>SUMPRODUCT(B15:F15,#REF!)/SUM(#REF!)</f>
        <v>#REF!</v>
      </c>
    </row>
    <row r="16" spans="1:12">
      <c r="A16" s="80" t="s">
        <v>161</v>
      </c>
      <c r="B16" s="77">
        <v>2</v>
      </c>
      <c r="C16" s="77">
        <v>5</v>
      </c>
      <c r="D16" s="77">
        <v>4</v>
      </c>
      <c r="E16" s="77">
        <v>2</v>
      </c>
      <c r="F16" s="77">
        <v>5</v>
      </c>
      <c r="G16" s="79">
        <v>1</v>
      </c>
      <c r="H16" s="79">
        <v>0</v>
      </c>
      <c r="I16" s="79">
        <v>0</v>
      </c>
      <c r="J16" s="76">
        <v>18</v>
      </c>
      <c r="K16" s="84" t="e">
        <f>SUMPRODUCT(#REF!,B16:D16)/SUM(#REF!)</f>
        <v>#REF!</v>
      </c>
      <c r="L16" s="84" t="e">
        <f>SUMPRODUCT(B16:F16,#REF!)/SUM(#REF!)</f>
        <v>#REF!</v>
      </c>
    </row>
    <row r="17" spans="1:12">
      <c r="A17" s="80" t="s">
        <v>162</v>
      </c>
      <c r="B17" s="77">
        <v>2</v>
      </c>
      <c r="C17" s="77">
        <v>1</v>
      </c>
      <c r="D17" s="77">
        <v>2</v>
      </c>
      <c r="E17" s="77">
        <v>4</v>
      </c>
      <c r="F17" s="77">
        <v>2</v>
      </c>
      <c r="G17" s="79">
        <v>0</v>
      </c>
      <c r="H17" s="79">
        <v>0</v>
      </c>
      <c r="I17" s="79">
        <v>0</v>
      </c>
      <c r="J17" s="76">
        <v>11</v>
      </c>
      <c r="K17" s="84" t="e">
        <f>SUMPRODUCT(#REF!,B17:D17)/SUM(#REF!)</f>
        <v>#REF!</v>
      </c>
      <c r="L17" s="84" t="e">
        <f>SUMPRODUCT(B17:F17,#REF!)/SUM(#REF!)</f>
        <v>#REF!</v>
      </c>
    </row>
    <row r="18" spans="1:12">
      <c r="A18" s="80" t="s">
        <v>163</v>
      </c>
      <c r="B18" s="77">
        <v>2</v>
      </c>
      <c r="C18" s="77">
        <v>2</v>
      </c>
      <c r="D18" s="77">
        <v>5</v>
      </c>
      <c r="E18" s="77">
        <v>1</v>
      </c>
      <c r="F18" s="77">
        <v>2</v>
      </c>
      <c r="G18" s="79">
        <v>0</v>
      </c>
      <c r="H18" s="79">
        <v>0</v>
      </c>
      <c r="I18" s="79">
        <v>1</v>
      </c>
      <c r="J18" s="76">
        <v>12</v>
      </c>
      <c r="K18" s="84" t="e">
        <f>SUMPRODUCT(#REF!,B18:D18)/SUM(#REF!)</f>
        <v>#REF!</v>
      </c>
      <c r="L18" s="84" t="e">
        <f>SUMPRODUCT(B18:F18,#REF!)/SUM(#REF!)</f>
        <v>#REF!</v>
      </c>
    </row>
    <row r="19" spans="1:12">
      <c r="A19" s="80" t="s">
        <v>164</v>
      </c>
      <c r="B19" s="77">
        <v>2</v>
      </c>
      <c r="C19" s="77">
        <v>2</v>
      </c>
      <c r="D19" s="77">
        <v>3</v>
      </c>
      <c r="E19" s="77">
        <v>1</v>
      </c>
      <c r="F19" s="77">
        <v>5</v>
      </c>
      <c r="G19" s="79">
        <v>1</v>
      </c>
      <c r="H19" s="79">
        <v>0</v>
      </c>
      <c r="I19" s="79">
        <v>0</v>
      </c>
      <c r="J19" s="76">
        <v>13</v>
      </c>
      <c r="K19" s="84" t="e">
        <f>SUMPRODUCT(#REF!,B19:D19)/SUM(#REF!)</f>
        <v>#REF!</v>
      </c>
      <c r="L19" s="84" t="e">
        <f>SUMPRODUCT(B19:F19,#REF!)/SUM(#REF!)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A3A4-DB29-441F-91D6-E725D17F3E23}">
  <dimension ref="A1:H86"/>
  <sheetViews>
    <sheetView topLeftCell="A77" workbookViewId="0">
      <selection sqref="A1:H86"/>
    </sheetView>
  </sheetViews>
  <sheetFormatPr defaultRowHeight="14.4"/>
  <cols>
    <col min="8" max="8" width="39.6640625" bestFit="1" customWidth="1"/>
  </cols>
  <sheetData>
    <row r="1" spans="1:8" ht="41.4">
      <c r="A1" s="74" t="s">
        <v>52</v>
      </c>
      <c r="B1" s="72" t="s">
        <v>3</v>
      </c>
      <c r="C1" s="72" t="s">
        <v>4</v>
      </c>
      <c r="D1" s="72" t="s">
        <v>5</v>
      </c>
      <c r="E1" s="72" t="s">
        <v>6</v>
      </c>
      <c r="F1" s="72" t="s">
        <v>7</v>
      </c>
      <c r="G1" s="73" t="s">
        <v>10</v>
      </c>
      <c r="H1" s="72" t="s">
        <v>53</v>
      </c>
    </row>
    <row r="2" spans="1:8">
      <c r="A2" s="75">
        <v>1</v>
      </c>
      <c r="B2" s="70">
        <v>7.0000000000000007E-2</v>
      </c>
      <c r="C2" s="70">
        <v>0.28000000000000003</v>
      </c>
      <c r="D2" s="70">
        <v>0.39</v>
      </c>
      <c r="E2" s="70">
        <v>0.1</v>
      </c>
      <c r="F2" s="70">
        <v>0.1</v>
      </c>
      <c r="G2" s="71">
        <v>0.27</v>
      </c>
      <c r="H2" s="69" t="s">
        <v>73</v>
      </c>
    </row>
    <row r="3" spans="1:8">
      <c r="A3" s="75">
        <v>2</v>
      </c>
      <c r="B3" s="70">
        <v>0.17</v>
      </c>
      <c r="C3" s="70">
        <v>0.05</v>
      </c>
      <c r="D3" s="70">
        <v>0.21</v>
      </c>
      <c r="E3" s="70">
        <v>0.27</v>
      </c>
      <c r="F3" s="70">
        <v>0.13</v>
      </c>
      <c r="G3" s="71">
        <v>0.11</v>
      </c>
      <c r="H3" s="69" t="s">
        <v>74</v>
      </c>
    </row>
    <row r="4" spans="1:8">
      <c r="A4" s="75">
        <v>3</v>
      </c>
      <c r="B4" s="70">
        <v>0.05</v>
      </c>
      <c r="C4" s="70">
        <v>0.11</v>
      </c>
      <c r="D4" s="70">
        <v>0.34</v>
      </c>
      <c r="E4" s="70">
        <v>0.17</v>
      </c>
      <c r="F4" s="70">
        <v>0.12</v>
      </c>
      <c r="G4" s="71">
        <v>0.18</v>
      </c>
      <c r="H4" s="69" t="s">
        <v>75</v>
      </c>
    </row>
    <row r="5" spans="1:8">
      <c r="A5" s="75">
        <v>4</v>
      </c>
      <c r="B5" s="70">
        <v>0.21</v>
      </c>
      <c r="C5" s="70">
        <v>0.16</v>
      </c>
      <c r="D5" s="70">
        <v>0.1</v>
      </c>
      <c r="E5" s="70">
        <v>0.1</v>
      </c>
      <c r="F5" s="70">
        <v>0.1</v>
      </c>
      <c r="G5" s="71">
        <v>0.28999999999999998</v>
      </c>
      <c r="H5" s="69" t="s">
        <v>76</v>
      </c>
    </row>
    <row r="6" spans="1:8">
      <c r="A6" s="75">
        <v>5</v>
      </c>
      <c r="B6" s="70">
        <v>0.26</v>
      </c>
      <c r="C6" s="70">
        <v>0.15</v>
      </c>
      <c r="D6" s="70">
        <v>0.65</v>
      </c>
      <c r="E6" s="70">
        <v>0.13</v>
      </c>
      <c r="F6" s="70">
        <v>0.1</v>
      </c>
      <c r="G6" s="71">
        <v>0.3</v>
      </c>
      <c r="H6" s="69" t="s">
        <v>77</v>
      </c>
    </row>
    <row r="7" spans="1:8">
      <c r="A7" s="75">
        <v>6</v>
      </c>
      <c r="B7" s="70">
        <v>0.1</v>
      </c>
      <c r="C7" s="70">
        <v>0.11</v>
      </c>
      <c r="D7" s="70">
        <v>0.44</v>
      </c>
      <c r="E7" s="70">
        <v>0.17</v>
      </c>
      <c r="F7" s="70">
        <v>0.1</v>
      </c>
      <c r="G7" s="71">
        <v>0.28999999999999998</v>
      </c>
      <c r="H7" s="69" t="s">
        <v>78</v>
      </c>
    </row>
    <row r="8" spans="1:8">
      <c r="A8" s="75">
        <v>7</v>
      </c>
      <c r="B8" s="70">
        <v>0.19</v>
      </c>
      <c r="C8" s="70">
        <v>0.23</v>
      </c>
      <c r="D8" s="70">
        <v>0.18</v>
      </c>
      <c r="E8" s="70">
        <v>0.3</v>
      </c>
      <c r="F8" s="70">
        <v>0.17</v>
      </c>
      <c r="G8" s="71">
        <v>0.1</v>
      </c>
      <c r="H8" s="69" t="s">
        <v>79</v>
      </c>
    </row>
    <row r="9" spans="1:8">
      <c r="A9" s="75">
        <v>8</v>
      </c>
      <c r="B9" s="70">
        <v>0.17</v>
      </c>
      <c r="C9" s="70">
        <v>0.24</v>
      </c>
      <c r="D9" s="70">
        <v>0.39</v>
      </c>
      <c r="E9" s="70">
        <v>0.2</v>
      </c>
      <c r="F9" s="70">
        <v>0.22</v>
      </c>
      <c r="G9" s="71">
        <v>0.16</v>
      </c>
      <c r="H9" s="69" t="s">
        <v>80</v>
      </c>
    </row>
    <row r="10" spans="1:8">
      <c r="A10" s="75">
        <v>9</v>
      </c>
      <c r="B10" s="70">
        <v>0.11</v>
      </c>
      <c r="C10" s="70">
        <v>0.2</v>
      </c>
      <c r="D10" s="70">
        <v>0.36</v>
      </c>
      <c r="E10" s="70">
        <v>0.28000000000000003</v>
      </c>
      <c r="F10" s="70">
        <v>0.21</v>
      </c>
      <c r="G10" s="71">
        <v>0.16</v>
      </c>
      <c r="H10" s="69" t="s">
        <v>81</v>
      </c>
    </row>
    <row r="11" spans="1:8">
      <c r="A11" s="75">
        <v>10</v>
      </c>
      <c r="B11" s="70">
        <v>0.06</v>
      </c>
      <c r="C11" s="70">
        <v>0.2</v>
      </c>
      <c r="D11" s="70">
        <v>0.1</v>
      </c>
      <c r="E11" s="70">
        <v>0.18</v>
      </c>
      <c r="F11" s="70">
        <v>0.1</v>
      </c>
      <c r="G11" s="71">
        <v>0.13</v>
      </c>
      <c r="H11" s="69" t="s">
        <v>82</v>
      </c>
    </row>
    <row r="12" spans="1:8">
      <c r="A12" s="75">
        <v>11</v>
      </c>
      <c r="B12" s="70">
        <v>0.05</v>
      </c>
      <c r="C12" s="70">
        <v>0.12</v>
      </c>
      <c r="D12" s="70">
        <v>0.1</v>
      </c>
      <c r="E12" s="70">
        <v>0.26</v>
      </c>
      <c r="F12" s="70">
        <v>0.1</v>
      </c>
      <c r="G12" s="71">
        <v>0.12</v>
      </c>
      <c r="H12" s="69" t="s">
        <v>83</v>
      </c>
    </row>
    <row r="13" spans="1:8">
      <c r="A13" s="75">
        <v>12</v>
      </c>
      <c r="B13" s="70">
        <v>0.28999999999999998</v>
      </c>
      <c r="C13" s="70">
        <v>0.05</v>
      </c>
      <c r="D13" s="70">
        <v>0.1</v>
      </c>
      <c r="E13" s="70">
        <v>0.27</v>
      </c>
      <c r="F13" s="70">
        <v>0.1</v>
      </c>
      <c r="G13" s="71">
        <v>0.14000000000000001</v>
      </c>
      <c r="H13" s="69" t="s">
        <v>84</v>
      </c>
    </row>
    <row r="14" spans="1:8">
      <c r="A14" s="75">
        <v>13</v>
      </c>
      <c r="B14" s="70">
        <v>0.14000000000000001</v>
      </c>
      <c r="C14" s="70">
        <v>0.28999999999999998</v>
      </c>
      <c r="D14" s="70">
        <v>0.65</v>
      </c>
      <c r="E14" s="70">
        <v>0.22</v>
      </c>
      <c r="F14" s="70">
        <v>0.26</v>
      </c>
      <c r="G14" s="71">
        <v>0.24</v>
      </c>
      <c r="H14" s="69" t="s">
        <v>85</v>
      </c>
    </row>
    <row r="15" spans="1:8">
      <c r="A15" s="75">
        <v>14</v>
      </c>
      <c r="B15" s="70">
        <v>0.3</v>
      </c>
      <c r="C15" s="70">
        <v>0.05</v>
      </c>
      <c r="D15" s="70">
        <v>0.1</v>
      </c>
      <c r="E15" s="70">
        <v>0.13</v>
      </c>
      <c r="F15" s="70">
        <v>0.17</v>
      </c>
      <c r="G15" s="71">
        <v>0.15</v>
      </c>
      <c r="H15" s="69" t="s">
        <v>86</v>
      </c>
    </row>
    <row r="16" spans="1:8">
      <c r="A16" s="75">
        <v>15</v>
      </c>
      <c r="B16" s="70">
        <v>0.23</v>
      </c>
      <c r="C16" s="70">
        <v>0.28999999999999998</v>
      </c>
      <c r="D16" s="70">
        <v>0.25</v>
      </c>
      <c r="E16" s="70">
        <v>0.24</v>
      </c>
      <c r="F16" s="70">
        <v>0.1</v>
      </c>
      <c r="G16" s="71">
        <v>0.1</v>
      </c>
      <c r="H16" s="69" t="s">
        <v>87</v>
      </c>
    </row>
    <row r="17" spans="1:8">
      <c r="A17" s="75">
        <v>16</v>
      </c>
      <c r="B17" s="70">
        <v>0.18</v>
      </c>
      <c r="C17" s="70">
        <v>0.12</v>
      </c>
      <c r="D17" s="70">
        <v>0.48</v>
      </c>
      <c r="E17" s="70">
        <v>0.1</v>
      </c>
      <c r="F17" s="70">
        <v>0.1</v>
      </c>
      <c r="G17" s="71">
        <v>0.1</v>
      </c>
      <c r="H17" s="69" t="s">
        <v>88</v>
      </c>
    </row>
    <row r="18" spans="1:8">
      <c r="A18" s="75">
        <v>17</v>
      </c>
      <c r="B18" s="70">
        <v>0.08</v>
      </c>
      <c r="C18" s="70">
        <v>0.14000000000000001</v>
      </c>
      <c r="D18" s="70">
        <v>0.23</v>
      </c>
      <c r="E18" s="70">
        <v>0.27</v>
      </c>
      <c r="F18" s="70">
        <v>0.1</v>
      </c>
      <c r="G18" s="71">
        <v>0.2</v>
      </c>
      <c r="H18" s="69" t="s">
        <v>89</v>
      </c>
    </row>
    <row r="19" spans="1:8">
      <c r="A19" s="75">
        <v>18</v>
      </c>
      <c r="B19" s="70">
        <v>0.28999999999999998</v>
      </c>
      <c r="C19" s="70">
        <v>0.11</v>
      </c>
      <c r="D19" s="70">
        <v>0.64</v>
      </c>
      <c r="E19" s="70">
        <v>0.1</v>
      </c>
      <c r="F19" s="70">
        <v>0.12</v>
      </c>
      <c r="G19" s="71">
        <v>0.1</v>
      </c>
      <c r="H19" s="69" t="s">
        <v>90</v>
      </c>
    </row>
    <row r="20" spans="1:8">
      <c r="A20" s="75">
        <v>19</v>
      </c>
      <c r="B20" s="70">
        <v>0.1</v>
      </c>
      <c r="C20" s="70">
        <v>0.2</v>
      </c>
      <c r="D20" s="70">
        <v>0.1</v>
      </c>
      <c r="E20" s="70">
        <v>0.1</v>
      </c>
      <c r="F20" s="70">
        <v>0.1</v>
      </c>
      <c r="G20" s="71">
        <v>0.25</v>
      </c>
      <c r="H20" s="69" t="s">
        <v>91</v>
      </c>
    </row>
    <row r="21" spans="1:8">
      <c r="A21" s="75">
        <v>20</v>
      </c>
      <c r="B21" s="70">
        <v>0.3</v>
      </c>
      <c r="C21" s="70">
        <v>0.09</v>
      </c>
      <c r="D21" s="70">
        <v>0.47</v>
      </c>
      <c r="E21" s="70">
        <v>0.32</v>
      </c>
      <c r="F21" s="70">
        <v>0.12</v>
      </c>
      <c r="G21" s="71">
        <v>0.15</v>
      </c>
      <c r="H21" s="69" t="s">
        <v>92</v>
      </c>
    </row>
    <row r="22" spans="1:8">
      <c r="A22" s="75">
        <v>21</v>
      </c>
      <c r="B22" s="70">
        <v>0.11</v>
      </c>
      <c r="C22" s="70">
        <v>0.27</v>
      </c>
      <c r="D22" s="70">
        <v>0.1</v>
      </c>
      <c r="E22" s="70">
        <v>0.1</v>
      </c>
      <c r="F22" s="70">
        <v>0.25</v>
      </c>
      <c r="G22" s="71">
        <v>0.15</v>
      </c>
      <c r="H22" s="69" t="s">
        <v>93</v>
      </c>
    </row>
    <row r="23" spans="1:8">
      <c r="A23" s="75">
        <v>22</v>
      </c>
      <c r="B23" s="70">
        <v>0.17</v>
      </c>
      <c r="C23" s="70">
        <v>0.17</v>
      </c>
      <c r="D23" s="70">
        <v>0.51</v>
      </c>
      <c r="E23" s="70">
        <v>0.14000000000000001</v>
      </c>
      <c r="F23" s="70">
        <v>0.1</v>
      </c>
      <c r="G23" s="71">
        <v>0.21</v>
      </c>
      <c r="H23" s="69" t="s">
        <v>94</v>
      </c>
    </row>
    <row r="24" spans="1:8">
      <c r="A24" s="75">
        <v>23</v>
      </c>
      <c r="B24" s="70">
        <v>0.05</v>
      </c>
      <c r="C24" s="70">
        <v>0.14000000000000001</v>
      </c>
      <c r="D24" s="70">
        <v>0.51</v>
      </c>
      <c r="E24" s="70">
        <v>0.1</v>
      </c>
      <c r="F24" s="70">
        <v>0.2</v>
      </c>
      <c r="G24" s="71">
        <v>0.16</v>
      </c>
      <c r="H24" s="69" t="s">
        <v>95</v>
      </c>
    </row>
    <row r="25" spans="1:8">
      <c r="A25" s="75">
        <v>24</v>
      </c>
      <c r="B25" s="70">
        <v>0.3</v>
      </c>
      <c r="C25" s="70">
        <v>0.08</v>
      </c>
      <c r="D25" s="70">
        <v>0.42</v>
      </c>
      <c r="E25" s="70">
        <v>0.1</v>
      </c>
      <c r="F25" s="70">
        <v>0.1</v>
      </c>
      <c r="G25" s="71">
        <v>0.25</v>
      </c>
      <c r="H25" s="69" t="s">
        <v>96</v>
      </c>
    </row>
    <row r="26" spans="1:8">
      <c r="A26" s="75">
        <v>25</v>
      </c>
      <c r="B26" s="70">
        <v>0.14000000000000001</v>
      </c>
      <c r="C26" s="70">
        <v>0.15</v>
      </c>
      <c r="D26" s="70">
        <v>0.4</v>
      </c>
      <c r="E26" s="70">
        <v>0.1</v>
      </c>
      <c r="F26" s="70">
        <v>0.15</v>
      </c>
      <c r="G26" s="71">
        <v>0.1</v>
      </c>
      <c r="H26" s="69" t="s">
        <v>97</v>
      </c>
    </row>
    <row r="27" spans="1:8">
      <c r="A27" s="75">
        <v>26</v>
      </c>
      <c r="B27" s="70">
        <v>0.11</v>
      </c>
      <c r="C27" s="70">
        <v>0.13</v>
      </c>
      <c r="D27" s="70">
        <v>0.4</v>
      </c>
      <c r="E27" s="70">
        <v>0.1</v>
      </c>
      <c r="F27" s="70">
        <v>0.15</v>
      </c>
      <c r="G27" s="71">
        <v>0.1</v>
      </c>
      <c r="H27" s="69" t="s">
        <v>98</v>
      </c>
    </row>
    <row r="28" spans="1:8">
      <c r="A28" s="75">
        <v>27</v>
      </c>
      <c r="B28" s="70">
        <v>0.23</v>
      </c>
      <c r="C28" s="70">
        <v>0.27</v>
      </c>
      <c r="D28" s="70">
        <v>0.55000000000000004</v>
      </c>
      <c r="E28" s="70">
        <v>0.25</v>
      </c>
      <c r="F28" s="70">
        <v>0.1</v>
      </c>
      <c r="G28" s="71">
        <v>0.3</v>
      </c>
      <c r="H28" s="69" t="s">
        <v>99</v>
      </c>
    </row>
    <row r="29" spans="1:8">
      <c r="A29" s="75">
        <v>28</v>
      </c>
      <c r="B29" s="70">
        <v>0.06</v>
      </c>
      <c r="C29" s="70">
        <v>0.2</v>
      </c>
      <c r="D29" s="70">
        <v>0.57999999999999996</v>
      </c>
      <c r="E29" s="70">
        <v>0.1</v>
      </c>
      <c r="F29" s="70">
        <v>0.26</v>
      </c>
      <c r="G29" s="71">
        <v>0.2</v>
      </c>
      <c r="H29" s="69" t="s">
        <v>100</v>
      </c>
    </row>
    <row r="30" spans="1:8">
      <c r="A30" s="75">
        <v>29</v>
      </c>
      <c r="B30" s="70">
        <v>0.22</v>
      </c>
      <c r="C30" s="70">
        <v>0.05</v>
      </c>
      <c r="D30" s="70">
        <v>0.1</v>
      </c>
      <c r="E30" s="70">
        <v>0.1</v>
      </c>
      <c r="F30" s="70">
        <v>0.12</v>
      </c>
      <c r="G30" s="71">
        <v>0.1</v>
      </c>
      <c r="H30" s="69" t="s">
        <v>101</v>
      </c>
    </row>
    <row r="31" spans="1:8">
      <c r="A31" s="75">
        <v>30</v>
      </c>
      <c r="B31" s="70">
        <v>0.05</v>
      </c>
      <c r="C31" s="70">
        <v>0.25</v>
      </c>
      <c r="D31" s="70">
        <v>0.6</v>
      </c>
      <c r="E31" s="70">
        <v>0.24</v>
      </c>
      <c r="F31" s="70">
        <v>0.1</v>
      </c>
      <c r="G31" s="71">
        <v>0.3</v>
      </c>
      <c r="H31" s="69" t="s">
        <v>102</v>
      </c>
    </row>
    <row r="32" spans="1:8">
      <c r="A32" s="75">
        <v>31</v>
      </c>
      <c r="B32" s="70">
        <v>0.2</v>
      </c>
      <c r="C32" s="70">
        <v>0.05</v>
      </c>
      <c r="D32" s="70">
        <v>0.1</v>
      </c>
      <c r="E32" s="70">
        <v>0.2</v>
      </c>
      <c r="F32" s="70">
        <v>0.1</v>
      </c>
      <c r="G32" s="71">
        <v>0.1</v>
      </c>
      <c r="H32" s="69" t="s">
        <v>103</v>
      </c>
    </row>
    <row r="33" spans="1:8">
      <c r="A33" s="75">
        <v>32</v>
      </c>
      <c r="B33" s="70">
        <v>0.05</v>
      </c>
      <c r="C33" s="70">
        <v>0.25</v>
      </c>
      <c r="D33" s="70">
        <v>0.37</v>
      </c>
      <c r="E33" s="70">
        <v>0.1</v>
      </c>
      <c r="F33" s="70">
        <v>0.21</v>
      </c>
      <c r="G33" s="71">
        <v>0.3</v>
      </c>
      <c r="H33" s="69" t="s">
        <v>104</v>
      </c>
    </row>
    <row r="34" spans="1:8">
      <c r="A34" s="75">
        <v>33</v>
      </c>
      <c r="B34" s="70">
        <v>0.05</v>
      </c>
      <c r="C34" s="70">
        <v>0.05</v>
      </c>
      <c r="D34" s="70">
        <v>0.26</v>
      </c>
      <c r="E34" s="70">
        <v>0.1</v>
      </c>
      <c r="F34" s="70">
        <v>0.1</v>
      </c>
      <c r="G34" s="71">
        <v>0.3</v>
      </c>
      <c r="H34" s="69" t="s">
        <v>105</v>
      </c>
    </row>
    <row r="35" spans="1:8">
      <c r="A35" s="75">
        <v>34</v>
      </c>
      <c r="B35" s="70">
        <v>0.09</v>
      </c>
      <c r="C35" s="70">
        <v>0.13</v>
      </c>
      <c r="D35" s="70">
        <v>0.45</v>
      </c>
      <c r="E35" s="70">
        <v>0.23</v>
      </c>
      <c r="F35" s="70">
        <v>0.13</v>
      </c>
      <c r="G35" s="71">
        <v>0.27</v>
      </c>
      <c r="H35" s="69" t="s">
        <v>106</v>
      </c>
    </row>
    <row r="36" spans="1:8">
      <c r="A36" s="75">
        <v>35</v>
      </c>
      <c r="B36" s="70">
        <v>0.05</v>
      </c>
      <c r="C36" s="70">
        <v>0.19</v>
      </c>
      <c r="D36" s="70">
        <v>0.24</v>
      </c>
      <c r="E36" s="70">
        <v>0.1</v>
      </c>
      <c r="F36" s="70">
        <v>0.1</v>
      </c>
      <c r="G36" s="71">
        <v>0.19</v>
      </c>
      <c r="H36" s="69" t="s">
        <v>107</v>
      </c>
    </row>
    <row r="37" spans="1:8">
      <c r="A37" s="75">
        <v>36</v>
      </c>
      <c r="B37" s="70">
        <v>0.2</v>
      </c>
      <c r="C37" s="70">
        <v>0.13</v>
      </c>
      <c r="D37" s="70">
        <v>0.43</v>
      </c>
      <c r="E37" s="70">
        <v>0.1</v>
      </c>
      <c r="F37" s="70">
        <v>0.14000000000000001</v>
      </c>
      <c r="G37" s="71">
        <v>0.12</v>
      </c>
      <c r="H37" s="69" t="s">
        <v>108</v>
      </c>
    </row>
    <row r="38" spans="1:8">
      <c r="A38" s="75">
        <v>37</v>
      </c>
      <c r="B38" s="70">
        <v>0.15</v>
      </c>
      <c r="C38" s="70">
        <v>0.05</v>
      </c>
      <c r="D38" s="70">
        <v>0.2</v>
      </c>
      <c r="E38" s="70">
        <v>0.1</v>
      </c>
      <c r="F38" s="70">
        <v>0.1</v>
      </c>
      <c r="G38" s="71">
        <v>0.27</v>
      </c>
      <c r="H38" s="69" t="s">
        <v>109</v>
      </c>
    </row>
    <row r="39" spans="1:8">
      <c r="A39" s="75">
        <v>38</v>
      </c>
      <c r="B39" s="70">
        <v>0.2</v>
      </c>
      <c r="C39" s="70">
        <v>0.22</v>
      </c>
      <c r="D39" s="70">
        <v>0.1</v>
      </c>
      <c r="E39" s="70">
        <v>0.1</v>
      </c>
      <c r="F39" s="70">
        <v>0.11</v>
      </c>
      <c r="G39" s="71">
        <v>0.16</v>
      </c>
      <c r="H39" s="69" t="s">
        <v>110</v>
      </c>
    </row>
    <row r="40" spans="1:8">
      <c r="A40" s="75">
        <v>39</v>
      </c>
      <c r="B40" s="70">
        <v>0.16</v>
      </c>
      <c r="C40" s="70">
        <v>0.05</v>
      </c>
      <c r="D40" s="70">
        <v>0.61</v>
      </c>
      <c r="E40" s="70">
        <v>0.1</v>
      </c>
      <c r="F40" s="70">
        <v>0.19</v>
      </c>
      <c r="G40" s="71">
        <v>0.28000000000000003</v>
      </c>
      <c r="H40" s="69" t="s">
        <v>111</v>
      </c>
    </row>
    <row r="41" spans="1:8">
      <c r="A41" s="75">
        <v>40</v>
      </c>
      <c r="B41" s="70">
        <v>0.11</v>
      </c>
      <c r="C41" s="70">
        <v>0.05</v>
      </c>
      <c r="D41" s="70">
        <v>0.48</v>
      </c>
      <c r="E41" s="70">
        <v>0.2</v>
      </c>
      <c r="F41" s="70">
        <v>0.12</v>
      </c>
      <c r="G41" s="71">
        <v>0.17</v>
      </c>
      <c r="H41" s="69" t="s">
        <v>112</v>
      </c>
    </row>
    <row r="42" spans="1:8">
      <c r="A42" s="75">
        <v>41</v>
      </c>
      <c r="B42" s="70">
        <v>0.15</v>
      </c>
      <c r="C42" s="70">
        <v>0.23</v>
      </c>
      <c r="D42" s="70">
        <v>0.46</v>
      </c>
      <c r="E42" s="70">
        <v>0.27</v>
      </c>
      <c r="F42" s="70">
        <v>0.17</v>
      </c>
      <c r="G42" s="71">
        <v>0.1</v>
      </c>
      <c r="H42" s="69" t="s">
        <v>113</v>
      </c>
    </row>
    <row r="43" spans="1:8">
      <c r="A43" s="75">
        <v>42</v>
      </c>
      <c r="B43" s="70">
        <v>0.25</v>
      </c>
      <c r="C43" s="70">
        <v>0.06</v>
      </c>
      <c r="D43" s="70">
        <v>0.57999999999999996</v>
      </c>
      <c r="E43" s="70">
        <v>0.12</v>
      </c>
      <c r="F43" s="70">
        <v>0.19</v>
      </c>
      <c r="G43" s="71">
        <v>0.13</v>
      </c>
      <c r="H43" s="69" t="s">
        <v>114</v>
      </c>
    </row>
    <row r="44" spans="1:8">
      <c r="A44" s="75">
        <v>43</v>
      </c>
      <c r="B44" s="70">
        <v>0.13</v>
      </c>
      <c r="C44" s="70">
        <v>0.15</v>
      </c>
      <c r="D44" s="70">
        <v>0.1</v>
      </c>
      <c r="E44" s="70">
        <v>0.12</v>
      </c>
      <c r="F44" s="70">
        <v>0.16</v>
      </c>
      <c r="G44" s="71">
        <v>0.2</v>
      </c>
      <c r="H44" s="69" t="s">
        <v>115</v>
      </c>
    </row>
    <row r="45" spans="1:8">
      <c r="A45" s="75">
        <v>44</v>
      </c>
      <c r="B45" s="70">
        <v>7.0000000000000007E-2</v>
      </c>
      <c r="C45" s="70">
        <v>0.19</v>
      </c>
      <c r="D45" s="70">
        <v>0.56999999999999995</v>
      </c>
      <c r="E45" s="70">
        <v>0.18</v>
      </c>
      <c r="F45" s="70">
        <v>0.14000000000000001</v>
      </c>
      <c r="G45" s="71">
        <v>0.15</v>
      </c>
      <c r="H45" s="69" t="s">
        <v>116</v>
      </c>
    </row>
    <row r="46" spans="1:8">
      <c r="A46" s="75">
        <v>45</v>
      </c>
      <c r="B46" s="70">
        <v>0.05</v>
      </c>
      <c r="C46" s="70">
        <v>0.12</v>
      </c>
      <c r="D46" s="70">
        <v>0.1</v>
      </c>
      <c r="E46" s="70">
        <v>0.14000000000000001</v>
      </c>
      <c r="F46" s="70">
        <v>0.12</v>
      </c>
      <c r="G46" s="71">
        <v>0.2</v>
      </c>
      <c r="H46" s="69" t="s">
        <v>117</v>
      </c>
    </row>
    <row r="47" spans="1:8">
      <c r="A47" s="75">
        <v>46</v>
      </c>
      <c r="B47" s="70">
        <v>0.13</v>
      </c>
      <c r="C47" s="70">
        <v>0.15</v>
      </c>
      <c r="D47" s="70">
        <v>0.43</v>
      </c>
      <c r="E47" s="70">
        <v>0.18</v>
      </c>
      <c r="F47" s="70">
        <v>0.18</v>
      </c>
      <c r="G47" s="71">
        <v>0.11</v>
      </c>
      <c r="H47" s="69" t="s">
        <v>118</v>
      </c>
    </row>
    <row r="48" spans="1:8">
      <c r="A48" s="75">
        <v>47</v>
      </c>
      <c r="B48" s="70">
        <v>7.0000000000000007E-2</v>
      </c>
      <c r="C48" s="70">
        <v>0.14000000000000001</v>
      </c>
      <c r="D48" s="70">
        <v>0.28000000000000003</v>
      </c>
      <c r="E48" s="70">
        <v>0.1</v>
      </c>
      <c r="F48" s="70">
        <v>0.24</v>
      </c>
      <c r="G48" s="71">
        <v>0.3</v>
      </c>
      <c r="H48" s="69" t="s">
        <v>119</v>
      </c>
    </row>
    <row r="49" spans="1:8">
      <c r="A49" s="75">
        <v>48</v>
      </c>
      <c r="B49" s="70">
        <v>0.3</v>
      </c>
      <c r="C49" s="70">
        <v>0.14000000000000001</v>
      </c>
      <c r="D49" s="70">
        <v>0.4</v>
      </c>
      <c r="E49" s="70">
        <v>0.13</v>
      </c>
      <c r="F49" s="70">
        <v>0.3</v>
      </c>
      <c r="G49" s="71">
        <v>0.15</v>
      </c>
      <c r="H49" s="69" t="s">
        <v>120</v>
      </c>
    </row>
    <row r="50" spans="1:8">
      <c r="A50" s="75">
        <v>49</v>
      </c>
      <c r="B50" s="70">
        <v>0.05</v>
      </c>
      <c r="C50" s="70">
        <v>0.22</v>
      </c>
      <c r="D50" s="70">
        <v>0.51</v>
      </c>
      <c r="E50" s="70">
        <v>0.18</v>
      </c>
      <c r="F50" s="70">
        <v>0.3</v>
      </c>
      <c r="G50" s="71">
        <v>0.24</v>
      </c>
      <c r="H50" s="69" t="s">
        <v>121</v>
      </c>
    </row>
    <row r="51" spans="1:8">
      <c r="A51" s="75">
        <v>50</v>
      </c>
      <c r="B51" s="70">
        <v>0.05</v>
      </c>
      <c r="C51" s="70">
        <v>0.2</v>
      </c>
      <c r="D51" s="70">
        <v>0.33</v>
      </c>
      <c r="E51" s="70">
        <v>0.19</v>
      </c>
      <c r="F51" s="70">
        <v>0.1</v>
      </c>
      <c r="G51" s="71">
        <v>0.1</v>
      </c>
      <c r="H51" s="69" t="s">
        <v>122</v>
      </c>
    </row>
    <row r="52" spans="1:8">
      <c r="A52" s="75">
        <v>51</v>
      </c>
      <c r="B52" s="70">
        <v>0.12</v>
      </c>
      <c r="C52" s="70">
        <v>0.15</v>
      </c>
      <c r="D52" s="70">
        <v>0.1</v>
      </c>
      <c r="E52" s="70">
        <v>0.1</v>
      </c>
      <c r="F52" s="70">
        <v>0.15</v>
      </c>
      <c r="G52" s="71">
        <v>0.26</v>
      </c>
      <c r="H52" s="69" t="s">
        <v>123</v>
      </c>
    </row>
    <row r="53" spans="1:8">
      <c r="A53" s="75">
        <v>52</v>
      </c>
      <c r="B53" s="70">
        <v>0.21</v>
      </c>
      <c r="C53" s="70">
        <v>0.2</v>
      </c>
      <c r="D53" s="70">
        <v>0.56999999999999995</v>
      </c>
      <c r="E53" s="70">
        <v>0.21</v>
      </c>
      <c r="F53" s="70">
        <v>0.17</v>
      </c>
      <c r="G53" s="71">
        <v>0.3</v>
      </c>
      <c r="H53" s="69" t="s">
        <v>124</v>
      </c>
    </row>
    <row r="54" spans="1:8">
      <c r="A54" s="75">
        <v>53</v>
      </c>
      <c r="B54" s="70">
        <v>0.12</v>
      </c>
      <c r="C54" s="70">
        <v>0.08</v>
      </c>
      <c r="D54" s="70">
        <v>0.64</v>
      </c>
      <c r="E54" s="70">
        <v>0.14000000000000001</v>
      </c>
      <c r="F54" s="70">
        <v>0.24</v>
      </c>
      <c r="G54" s="71">
        <v>0.24</v>
      </c>
      <c r="H54" s="69" t="s">
        <v>125</v>
      </c>
    </row>
    <row r="55" spans="1:8">
      <c r="A55" s="75">
        <v>54</v>
      </c>
      <c r="B55" s="70">
        <v>0.05</v>
      </c>
      <c r="C55" s="70">
        <v>7.0000000000000007E-2</v>
      </c>
      <c r="D55" s="70">
        <v>0.51</v>
      </c>
      <c r="E55" s="70">
        <v>0.14000000000000001</v>
      </c>
      <c r="F55" s="70">
        <v>0.22</v>
      </c>
      <c r="G55" s="71">
        <v>0.17</v>
      </c>
      <c r="H55" s="69" t="s">
        <v>126</v>
      </c>
    </row>
    <row r="56" spans="1:8">
      <c r="A56" s="75">
        <v>55</v>
      </c>
      <c r="B56" s="70">
        <v>7.0000000000000007E-2</v>
      </c>
      <c r="C56" s="70">
        <v>0.05</v>
      </c>
      <c r="D56" s="70">
        <v>0.6</v>
      </c>
      <c r="E56" s="70">
        <v>0.1</v>
      </c>
      <c r="F56" s="70">
        <v>0.1</v>
      </c>
      <c r="G56" s="71">
        <v>0.11</v>
      </c>
      <c r="H56" s="69" t="s">
        <v>127</v>
      </c>
    </row>
    <row r="57" spans="1:8">
      <c r="A57" s="75">
        <v>56</v>
      </c>
      <c r="B57" s="70">
        <v>0.11</v>
      </c>
      <c r="C57" s="70">
        <v>0.19</v>
      </c>
      <c r="D57" s="70">
        <v>0.1</v>
      </c>
      <c r="E57" s="70">
        <v>0.13</v>
      </c>
      <c r="F57" s="70">
        <v>0.14000000000000001</v>
      </c>
      <c r="G57" s="71">
        <v>0.24</v>
      </c>
      <c r="H57" s="69" t="s">
        <v>128</v>
      </c>
    </row>
    <row r="58" spans="1:8">
      <c r="A58" s="75">
        <v>57</v>
      </c>
      <c r="B58" s="70">
        <v>0.25</v>
      </c>
      <c r="C58" s="70">
        <v>0.25</v>
      </c>
      <c r="D58" s="70">
        <v>0.34</v>
      </c>
      <c r="E58" s="70">
        <v>0.1</v>
      </c>
      <c r="F58" s="70">
        <v>0.1</v>
      </c>
      <c r="G58" s="71">
        <v>0.24</v>
      </c>
      <c r="H58" s="69" t="s">
        <v>129</v>
      </c>
    </row>
    <row r="59" spans="1:8">
      <c r="A59" s="75">
        <v>58</v>
      </c>
      <c r="B59" s="70">
        <v>0.05</v>
      </c>
      <c r="C59" s="70">
        <v>0.13</v>
      </c>
      <c r="D59" s="70">
        <v>0.28999999999999998</v>
      </c>
      <c r="E59" s="70">
        <v>0.1</v>
      </c>
      <c r="F59" s="70">
        <v>0.1</v>
      </c>
      <c r="G59" s="71">
        <v>0.1</v>
      </c>
      <c r="H59" s="69" t="s">
        <v>130</v>
      </c>
    </row>
    <row r="60" spans="1:8">
      <c r="A60" s="75">
        <v>59</v>
      </c>
      <c r="B60" s="70">
        <v>0.14000000000000001</v>
      </c>
      <c r="C60" s="70">
        <v>0.05</v>
      </c>
      <c r="D60" s="70">
        <v>0.1</v>
      </c>
      <c r="E60" s="70">
        <v>0.14000000000000001</v>
      </c>
      <c r="F60" s="70">
        <v>0.1</v>
      </c>
      <c r="G60" s="71">
        <v>0.19</v>
      </c>
      <c r="H60" s="69" t="s">
        <v>131</v>
      </c>
    </row>
    <row r="61" spans="1:8">
      <c r="A61" s="75">
        <v>60</v>
      </c>
      <c r="B61" s="70">
        <v>0.09</v>
      </c>
      <c r="C61" s="70">
        <v>0.09</v>
      </c>
      <c r="D61" s="70">
        <v>0.35</v>
      </c>
      <c r="E61" s="70">
        <v>0.13</v>
      </c>
      <c r="F61" s="70">
        <v>0.1</v>
      </c>
      <c r="G61" s="71">
        <v>0.24</v>
      </c>
      <c r="H61" s="69" t="s">
        <v>132</v>
      </c>
    </row>
    <row r="62" spans="1:8">
      <c r="A62" s="75">
        <v>61</v>
      </c>
      <c r="B62" s="70">
        <v>0.18</v>
      </c>
      <c r="C62" s="70">
        <v>0.16</v>
      </c>
      <c r="D62" s="70">
        <v>0.33</v>
      </c>
      <c r="E62" s="70">
        <v>0.13</v>
      </c>
      <c r="F62" s="70">
        <v>0.28000000000000003</v>
      </c>
      <c r="G62" s="71">
        <v>0.12</v>
      </c>
      <c r="H62" s="69" t="s">
        <v>133</v>
      </c>
    </row>
    <row r="63" spans="1:8">
      <c r="A63" s="75">
        <v>62</v>
      </c>
      <c r="B63" s="70">
        <v>0.19</v>
      </c>
      <c r="C63" s="70">
        <v>0.15</v>
      </c>
      <c r="D63" s="70">
        <v>0.1</v>
      </c>
      <c r="E63" s="70">
        <v>0.15</v>
      </c>
      <c r="F63" s="70">
        <v>0.1</v>
      </c>
      <c r="G63" s="71">
        <v>0.24</v>
      </c>
      <c r="H63" s="69" t="s">
        <v>134</v>
      </c>
    </row>
    <row r="64" spans="1:8">
      <c r="A64" s="75">
        <v>63</v>
      </c>
      <c r="B64" s="70">
        <v>0.05</v>
      </c>
      <c r="C64" s="70">
        <v>0.13</v>
      </c>
      <c r="D64" s="70">
        <v>0.1</v>
      </c>
      <c r="E64" s="70">
        <v>0.13</v>
      </c>
      <c r="F64" s="70">
        <v>0.1</v>
      </c>
      <c r="G64" s="71">
        <v>0.17</v>
      </c>
      <c r="H64" s="69" t="s">
        <v>135</v>
      </c>
    </row>
    <row r="65" spans="1:8">
      <c r="A65" s="75">
        <v>64</v>
      </c>
      <c r="B65" s="70">
        <v>0.3</v>
      </c>
      <c r="C65" s="70">
        <v>0.2</v>
      </c>
      <c r="D65" s="70">
        <v>0.35</v>
      </c>
      <c r="E65" s="70">
        <v>0.24</v>
      </c>
      <c r="F65" s="70">
        <v>0.13</v>
      </c>
      <c r="G65" s="71">
        <v>0.3</v>
      </c>
      <c r="H65" s="69" t="s">
        <v>136</v>
      </c>
    </row>
    <row r="66" spans="1:8">
      <c r="A66" s="75">
        <v>65</v>
      </c>
      <c r="B66" s="70">
        <v>0.17</v>
      </c>
      <c r="C66" s="70">
        <v>0.2</v>
      </c>
      <c r="D66" s="70">
        <v>0.48</v>
      </c>
      <c r="E66" s="70">
        <v>0.21</v>
      </c>
      <c r="F66" s="70">
        <v>0.23</v>
      </c>
      <c r="G66" s="71">
        <v>0.1</v>
      </c>
      <c r="H66" s="69" t="s">
        <v>137</v>
      </c>
    </row>
    <row r="67" spans="1:8">
      <c r="A67" s="75">
        <v>66</v>
      </c>
      <c r="B67" s="70">
        <v>0.1</v>
      </c>
      <c r="C67" s="70">
        <v>0.05</v>
      </c>
      <c r="D67" s="70">
        <v>0.51</v>
      </c>
      <c r="E67" s="70">
        <v>0.28999999999999998</v>
      </c>
      <c r="F67" s="70">
        <v>0.1</v>
      </c>
      <c r="G67" s="71">
        <v>0.24</v>
      </c>
      <c r="H67" s="69" t="s">
        <v>138</v>
      </c>
    </row>
    <row r="68" spans="1:8">
      <c r="A68" s="75">
        <v>67</v>
      </c>
      <c r="B68" s="70">
        <v>0.06</v>
      </c>
      <c r="C68" s="70">
        <v>0.16</v>
      </c>
      <c r="D68" s="70">
        <v>0.1</v>
      </c>
      <c r="E68" s="70">
        <v>0.35</v>
      </c>
      <c r="F68" s="70">
        <v>0.28000000000000003</v>
      </c>
      <c r="G68" s="71">
        <v>0.2</v>
      </c>
      <c r="H68" s="69" t="s">
        <v>139</v>
      </c>
    </row>
    <row r="69" spans="1:8">
      <c r="A69" s="75">
        <v>68</v>
      </c>
      <c r="B69" s="70">
        <v>0.12</v>
      </c>
      <c r="C69" s="70">
        <v>7.0000000000000007E-2</v>
      </c>
      <c r="D69" s="70">
        <v>0.1</v>
      </c>
      <c r="E69" s="70">
        <v>0.21</v>
      </c>
      <c r="F69" s="70">
        <v>0.1</v>
      </c>
      <c r="G69" s="71">
        <v>0.1</v>
      </c>
      <c r="H69" s="69" t="s">
        <v>140</v>
      </c>
    </row>
    <row r="70" spans="1:8">
      <c r="A70" s="75">
        <v>69</v>
      </c>
      <c r="B70" s="70">
        <v>0.15</v>
      </c>
      <c r="C70" s="70">
        <v>0.14000000000000001</v>
      </c>
      <c r="D70" s="70">
        <v>0.19</v>
      </c>
      <c r="E70" s="70">
        <v>0.21</v>
      </c>
      <c r="F70" s="70">
        <v>0.1</v>
      </c>
      <c r="G70" s="71">
        <v>0.11</v>
      </c>
      <c r="H70" s="69" t="s">
        <v>141</v>
      </c>
    </row>
    <row r="71" spans="1:8">
      <c r="A71" s="75">
        <v>70</v>
      </c>
      <c r="B71" s="70">
        <v>0.21</v>
      </c>
      <c r="C71" s="70">
        <v>0.22</v>
      </c>
      <c r="D71" s="70">
        <v>0.31</v>
      </c>
      <c r="E71" s="70">
        <v>0.32</v>
      </c>
      <c r="F71" s="70">
        <v>0.13</v>
      </c>
      <c r="G71" s="71">
        <v>0.12</v>
      </c>
      <c r="H71" s="69" t="s">
        <v>142</v>
      </c>
    </row>
    <row r="72" spans="1:8">
      <c r="A72" s="75">
        <v>71</v>
      </c>
      <c r="B72" s="70">
        <v>0.15</v>
      </c>
      <c r="C72" s="70">
        <v>0.27</v>
      </c>
      <c r="D72" s="70">
        <v>0.17</v>
      </c>
      <c r="E72" s="70">
        <v>0.1</v>
      </c>
      <c r="F72" s="70">
        <v>0.19</v>
      </c>
      <c r="G72" s="71">
        <v>0.27</v>
      </c>
      <c r="H72" s="69" t="s">
        <v>143</v>
      </c>
    </row>
    <row r="73" spans="1:8">
      <c r="A73" s="75">
        <v>72</v>
      </c>
      <c r="B73" s="70">
        <v>0.2</v>
      </c>
      <c r="C73" s="70">
        <v>0.18</v>
      </c>
      <c r="D73" s="70">
        <v>0.27</v>
      </c>
      <c r="E73" s="70">
        <v>0.1</v>
      </c>
      <c r="F73" s="70">
        <v>0.3</v>
      </c>
      <c r="G73" s="71">
        <v>0.16</v>
      </c>
      <c r="H73" s="69" t="s">
        <v>144</v>
      </c>
    </row>
    <row r="74" spans="1:8">
      <c r="A74" s="75">
        <v>73</v>
      </c>
      <c r="B74" s="70">
        <v>0.05</v>
      </c>
      <c r="C74" s="70">
        <v>0.09</v>
      </c>
      <c r="D74" s="70">
        <v>0.51</v>
      </c>
      <c r="E74" s="70">
        <v>0.16</v>
      </c>
      <c r="F74" s="70">
        <v>0.21</v>
      </c>
      <c r="G74" s="71">
        <v>0.19</v>
      </c>
      <c r="H74" s="69" t="s">
        <v>145</v>
      </c>
    </row>
    <row r="75" spans="1:8">
      <c r="A75" s="75">
        <v>74</v>
      </c>
      <c r="B75" s="70">
        <v>7.0000000000000007E-2</v>
      </c>
      <c r="C75" s="70">
        <v>0.1</v>
      </c>
      <c r="D75" s="70">
        <v>0.51</v>
      </c>
      <c r="E75" s="70">
        <v>0.1</v>
      </c>
      <c r="F75" s="70">
        <v>0.1</v>
      </c>
      <c r="G75" s="71">
        <v>0.2</v>
      </c>
      <c r="H75" s="69" t="s">
        <v>146</v>
      </c>
    </row>
    <row r="76" spans="1:8">
      <c r="A76" s="75">
        <v>75</v>
      </c>
      <c r="B76" s="70">
        <v>0.05</v>
      </c>
      <c r="C76" s="70">
        <v>0.17</v>
      </c>
      <c r="D76" s="70">
        <v>0.36</v>
      </c>
      <c r="E76" s="70">
        <v>0.23</v>
      </c>
      <c r="F76" s="70">
        <v>0.1</v>
      </c>
      <c r="G76" s="71">
        <v>0.3</v>
      </c>
      <c r="H76" s="69" t="s">
        <v>147</v>
      </c>
    </row>
    <row r="77" spans="1:8">
      <c r="A77" s="75">
        <v>76</v>
      </c>
      <c r="B77" s="70">
        <v>0.17</v>
      </c>
      <c r="C77" s="70">
        <v>0.05</v>
      </c>
      <c r="D77" s="70">
        <v>0.1</v>
      </c>
      <c r="E77" s="70">
        <v>0.28999999999999998</v>
      </c>
      <c r="F77" s="70">
        <v>0.1</v>
      </c>
      <c r="G77" s="71">
        <v>0.17</v>
      </c>
      <c r="H77" s="69" t="s">
        <v>148</v>
      </c>
    </row>
    <row r="78" spans="1:8">
      <c r="A78" s="75">
        <v>77</v>
      </c>
      <c r="B78" s="70">
        <v>0.19</v>
      </c>
      <c r="C78" s="70">
        <v>0.12</v>
      </c>
      <c r="D78" s="70">
        <v>0.2</v>
      </c>
      <c r="E78" s="70">
        <v>0.1</v>
      </c>
      <c r="F78" s="70">
        <v>0.18</v>
      </c>
      <c r="G78" s="71">
        <v>0.3</v>
      </c>
      <c r="H78" s="69" t="s">
        <v>149</v>
      </c>
    </row>
    <row r="79" spans="1:8">
      <c r="A79" s="75">
        <v>78</v>
      </c>
      <c r="B79" s="70">
        <v>0.05</v>
      </c>
      <c r="C79" s="70">
        <v>0.17</v>
      </c>
      <c r="D79" s="70">
        <v>0.47</v>
      </c>
      <c r="E79" s="70">
        <v>0.1</v>
      </c>
      <c r="F79" s="70">
        <v>0.2</v>
      </c>
      <c r="G79" s="71">
        <v>0.18</v>
      </c>
      <c r="H79" s="69" t="s">
        <v>150</v>
      </c>
    </row>
    <row r="80" spans="1:8">
      <c r="A80" s="75">
        <v>79</v>
      </c>
      <c r="B80" s="70">
        <v>0.13</v>
      </c>
      <c r="C80" s="70">
        <v>0.2</v>
      </c>
      <c r="D80" s="70">
        <v>0.55000000000000004</v>
      </c>
      <c r="E80" s="70">
        <v>0.22</v>
      </c>
      <c r="F80" s="70">
        <v>0.1</v>
      </c>
      <c r="G80" s="71">
        <v>0.1</v>
      </c>
      <c r="H80" s="69" t="s">
        <v>151</v>
      </c>
    </row>
    <row r="81" spans="1:8">
      <c r="A81" s="75">
        <v>80</v>
      </c>
      <c r="B81" s="70">
        <v>0.22</v>
      </c>
      <c r="C81" s="70">
        <v>0.1</v>
      </c>
      <c r="D81" s="70">
        <v>0.61</v>
      </c>
      <c r="E81" s="70">
        <v>0.27</v>
      </c>
      <c r="F81" s="70">
        <v>0.23</v>
      </c>
      <c r="G81" s="71">
        <v>0.12</v>
      </c>
      <c r="H81" s="69" t="s">
        <v>152</v>
      </c>
    </row>
    <row r="82" spans="1:8">
      <c r="A82" s="75">
        <v>81</v>
      </c>
      <c r="B82" s="70">
        <v>0.24</v>
      </c>
      <c r="C82" s="70">
        <v>0.16</v>
      </c>
      <c r="D82" s="70">
        <v>0.1</v>
      </c>
      <c r="E82" s="70">
        <v>0.1</v>
      </c>
      <c r="F82" s="70">
        <v>0.1</v>
      </c>
      <c r="G82" s="71">
        <v>0.1</v>
      </c>
      <c r="H82" s="69" t="s">
        <v>153</v>
      </c>
    </row>
    <row r="83" spans="1:8">
      <c r="A83" s="75">
        <v>82</v>
      </c>
      <c r="B83" s="70">
        <v>0.05</v>
      </c>
      <c r="C83" s="70">
        <v>0.23</v>
      </c>
      <c r="D83" s="70">
        <v>0.2</v>
      </c>
      <c r="E83" s="70">
        <v>0.18</v>
      </c>
      <c r="F83" s="70">
        <v>0.1</v>
      </c>
      <c r="G83" s="71">
        <v>0.16</v>
      </c>
      <c r="H83" s="69" t="s">
        <v>154</v>
      </c>
    </row>
    <row r="84" spans="1:8">
      <c r="A84" s="75">
        <v>83</v>
      </c>
      <c r="B84" s="70">
        <v>0.2</v>
      </c>
      <c r="C84" s="70">
        <v>0.15</v>
      </c>
      <c r="D84" s="70">
        <v>0.1</v>
      </c>
      <c r="E84" s="70">
        <v>0.11</v>
      </c>
      <c r="F84" s="70">
        <v>0.1</v>
      </c>
      <c r="G84" s="71">
        <v>0.1</v>
      </c>
      <c r="H84" s="69" t="s">
        <v>155</v>
      </c>
    </row>
    <row r="85" spans="1:8">
      <c r="A85" s="75">
        <v>84</v>
      </c>
      <c r="B85" s="70">
        <v>0.18</v>
      </c>
      <c r="C85" s="70">
        <v>0.05</v>
      </c>
      <c r="D85" s="70">
        <v>0.1</v>
      </c>
      <c r="E85" s="70">
        <v>0.1</v>
      </c>
      <c r="F85" s="70">
        <v>0.1</v>
      </c>
      <c r="G85" s="71">
        <v>0.11</v>
      </c>
      <c r="H85" s="69" t="s">
        <v>156</v>
      </c>
    </row>
    <row r="86" spans="1:8">
      <c r="A86" s="75">
        <v>85</v>
      </c>
      <c r="B86" s="70">
        <v>0.11</v>
      </c>
      <c r="C86" s="70">
        <v>0.14000000000000001</v>
      </c>
      <c r="D86" s="70">
        <v>0.1</v>
      </c>
      <c r="E86" s="70">
        <v>0.1</v>
      </c>
      <c r="F86" s="70">
        <v>0.1</v>
      </c>
      <c r="G86" s="71">
        <v>0.3</v>
      </c>
      <c r="H86" s="69" t="s">
        <v>157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37A9F-1BD5-4B34-BB38-A470C3B347D5}">
  <dimension ref="A1:AA57"/>
  <sheetViews>
    <sheetView showGridLines="0" zoomScale="55" zoomScaleNormal="55" workbookViewId="0">
      <selection activeCell="C4" sqref="C4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43" bestFit="1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64" t="s">
        <v>21</v>
      </c>
      <c r="C12" s="65" t="s">
        <v>3</v>
      </c>
      <c r="D12" s="67" t="s">
        <v>4</v>
      </c>
      <c r="E12" s="67" t="s">
        <v>5</v>
      </c>
      <c r="F12" s="67" t="s">
        <v>6</v>
      </c>
      <c r="G12" s="62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64"/>
      <c r="C13" s="66"/>
      <c r="D13" s="68"/>
      <c r="E13" s="68"/>
      <c r="F13" s="68"/>
      <c r="G13" s="63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18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ref="T19:T24" si="8">D5*T$13</f>
        <v>5</v>
      </c>
      <c r="U19" s="2">
        <f t="shared" ref="U19:U24" si="9">E5*U$13</f>
        <v>2</v>
      </c>
      <c r="V19" s="2">
        <f t="shared" ref="V19:V24" si="10">F5*V$13</f>
        <v>3</v>
      </c>
      <c r="W19" s="2">
        <f t="shared" ref="W19:W24" si="11">G5*W$13</f>
        <v>3</v>
      </c>
      <c r="X19" s="6">
        <f t="shared" ref="X19:X24" si="12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8"/>
        <v>1</v>
      </c>
      <c r="U20" s="2">
        <f t="shared" si="9"/>
        <v>3</v>
      </c>
      <c r="V20" s="2">
        <f t="shared" si="10"/>
        <v>2</v>
      </c>
      <c r="W20" s="2">
        <f t="shared" si="11"/>
        <v>3</v>
      </c>
      <c r="X20" s="6">
        <f t="shared" si="12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8"/>
        <v>2</v>
      </c>
      <c r="U21" s="2">
        <f t="shared" si="9"/>
        <v>5</v>
      </c>
      <c r="V21" s="2">
        <f t="shared" si="10"/>
        <v>2</v>
      </c>
      <c r="W21" s="2">
        <f t="shared" si="11"/>
        <v>2</v>
      </c>
      <c r="X21" s="6">
        <f t="shared" si="12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8"/>
        <v>4</v>
      </c>
      <c r="U22" s="2">
        <f t="shared" si="9"/>
        <v>3</v>
      </c>
      <c r="V22" s="2">
        <f t="shared" si="10"/>
        <v>2</v>
      </c>
      <c r="W22" s="2">
        <f t="shared" si="11"/>
        <v>5</v>
      </c>
      <c r="X22" s="6">
        <f t="shared" si="12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8"/>
        <v>4</v>
      </c>
      <c r="U23" s="2">
        <f t="shared" si="9"/>
        <v>2</v>
      </c>
      <c r="V23" s="2">
        <f t="shared" si="10"/>
        <v>4</v>
      </c>
      <c r="W23" s="2">
        <f t="shared" si="11"/>
        <v>4</v>
      </c>
      <c r="X23" s="6">
        <f t="shared" si="12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8"/>
        <v>1</v>
      </c>
      <c r="U24" s="2">
        <f t="shared" si="9"/>
        <v>3</v>
      </c>
      <c r="V24" s="2">
        <f t="shared" si="10"/>
        <v>3</v>
      </c>
      <c r="W24" s="2">
        <f t="shared" si="11"/>
        <v>3</v>
      </c>
      <c r="X24" s="6">
        <f t="shared" si="12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13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13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13"/>
        <v>0,1x1+ 0,1x2+ 0,4x3+ 0,15x4+ 0,1x5+ -0,15x6</v>
      </c>
      <c r="R28" s="10" t="s">
        <v>14</v>
      </c>
      <c r="S28" s="2">
        <f>S18</f>
        <v>2</v>
      </c>
      <c r="T28" s="2">
        <f t="shared" ref="T28:X28" si="14">T18</f>
        <v>4</v>
      </c>
      <c r="U28" s="2">
        <f t="shared" si="14"/>
        <v>1</v>
      </c>
      <c r="V28" s="2">
        <f t="shared" si="14"/>
        <v>3</v>
      </c>
      <c r="W28" s="2">
        <f t="shared" si="14"/>
        <v>4</v>
      </c>
      <c r="X28" s="2">
        <f t="shared" si="14"/>
        <v>0</v>
      </c>
      <c r="Y28" s="1">
        <f t="shared" ref="Y28:Y34" si="15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13"/>
        <v>0,05x1+ 0,05x2+ 0,5x3+ 0,15x4+ 0,1x5+ -0,15x6</v>
      </c>
      <c r="R29" s="10" t="s">
        <v>15</v>
      </c>
      <c r="S29" s="2">
        <f t="shared" ref="S29:X29" si="16">S19</f>
        <v>3</v>
      </c>
      <c r="T29" s="2">
        <f t="shared" si="16"/>
        <v>5</v>
      </c>
      <c r="U29" s="2">
        <f t="shared" si="16"/>
        <v>2</v>
      </c>
      <c r="V29" s="2">
        <f t="shared" si="16"/>
        <v>3</v>
      </c>
      <c r="W29" s="2">
        <f t="shared" si="16"/>
        <v>3</v>
      </c>
      <c r="X29" s="2">
        <f t="shared" si="16"/>
        <v>1</v>
      </c>
      <c r="Y29" s="1">
        <f t="shared" si="15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13"/>
        <v>0,05x1+ 0,1x2+ 0,35x3+ 0,15x4+ 0,1x5+ -0,25x6</v>
      </c>
      <c r="R30" s="10" t="s">
        <v>16</v>
      </c>
      <c r="S30" s="2">
        <f t="shared" ref="S30:X30" si="17">S20</f>
        <v>2</v>
      </c>
      <c r="T30" s="2">
        <f t="shared" si="17"/>
        <v>1</v>
      </c>
      <c r="U30" s="2">
        <f t="shared" si="17"/>
        <v>3</v>
      </c>
      <c r="V30" s="2">
        <f t="shared" si="17"/>
        <v>2</v>
      </c>
      <c r="W30" s="2">
        <f t="shared" si="17"/>
        <v>3</v>
      </c>
      <c r="X30" s="2">
        <f t="shared" si="17"/>
        <v>0</v>
      </c>
      <c r="Y30" s="1">
        <f t="shared" si="15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13"/>
        <v>0,1x1+ 0,1x2+ 0,15x3+ 0,35x4+ 0,2x5+ -0,1x6</v>
      </c>
      <c r="R31" s="10" t="s">
        <v>17</v>
      </c>
      <c r="S31" s="2">
        <f t="shared" ref="S31:X31" si="18">S21</f>
        <v>2</v>
      </c>
      <c r="T31" s="2">
        <f t="shared" si="18"/>
        <v>2</v>
      </c>
      <c r="U31" s="2">
        <f t="shared" si="18"/>
        <v>5</v>
      </c>
      <c r="V31" s="2">
        <f t="shared" si="18"/>
        <v>2</v>
      </c>
      <c r="W31" s="2">
        <f t="shared" si="18"/>
        <v>2</v>
      </c>
      <c r="X31" s="2">
        <f t="shared" si="18"/>
        <v>0</v>
      </c>
      <c r="Y31" s="1">
        <f t="shared" si="15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13"/>
        <v>0,1x1+ 0,1x2+ 0,65x3+ 0,25x4+ 0,3x5+ -0,1x6</v>
      </c>
      <c r="R32" s="10" t="s">
        <v>18</v>
      </c>
      <c r="S32" s="2">
        <f t="shared" ref="S32:X32" si="19">S22</f>
        <v>3</v>
      </c>
      <c r="T32" s="2">
        <f t="shared" si="19"/>
        <v>4</v>
      </c>
      <c r="U32" s="2">
        <f t="shared" si="19"/>
        <v>3</v>
      </c>
      <c r="V32" s="2">
        <f t="shared" si="19"/>
        <v>2</v>
      </c>
      <c r="W32" s="2">
        <f t="shared" si="19"/>
        <v>5</v>
      </c>
      <c r="X32" s="2">
        <f t="shared" si="19"/>
        <v>1</v>
      </c>
      <c r="Y32" s="1">
        <f t="shared" si="15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13"/>
        <v>0,2x1+ 0,15x2+ 0,2x3+ 0,15x4+ 0,1x5+ -0,2x6</v>
      </c>
      <c r="R33" s="10" t="s">
        <v>19</v>
      </c>
      <c r="S33" s="2">
        <f t="shared" ref="S33:X33" si="20">S23</f>
        <v>5</v>
      </c>
      <c r="T33" s="2">
        <f t="shared" si="20"/>
        <v>4</v>
      </c>
      <c r="U33" s="2">
        <f t="shared" si="20"/>
        <v>2</v>
      </c>
      <c r="V33" s="2">
        <f t="shared" si="20"/>
        <v>4</v>
      </c>
      <c r="W33" s="2">
        <f t="shared" si="20"/>
        <v>4</v>
      </c>
      <c r="X33" s="2">
        <f t="shared" si="20"/>
        <v>0</v>
      </c>
      <c r="Y33" s="1">
        <f t="shared" si="15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13"/>
        <v>0,15x1+ 0,15x2+ 0,15x3+ 0,15x4+ 0,1x5+ -0,3x6</v>
      </c>
      <c r="R34" s="10" t="s">
        <v>20</v>
      </c>
      <c r="S34" s="2">
        <f t="shared" ref="S34:X34" si="21">S24</f>
        <v>2</v>
      </c>
      <c r="T34" s="2">
        <f t="shared" si="21"/>
        <v>1</v>
      </c>
      <c r="U34" s="2">
        <f t="shared" si="21"/>
        <v>3</v>
      </c>
      <c r="V34" s="2">
        <f t="shared" si="21"/>
        <v>3</v>
      </c>
      <c r="W34" s="2">
        <f t="shared" si="21"/>
        <v>3</v>
      </c>
      <c r="X34" s="2">
        <f t="shared" si="21"/>
        <v>0</v>
      </c>
      <c r="Y34" s="1">
        <f t="shared" si="15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64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22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si="22"/>
        <v>1.85</v>
      </c>
      <c r="G37">
        <f t="shared" si="22"/>
        <v>1.65</v>
      </c>
      <c r="H37">
        <f t="shared" si="22"/>
        <v>1.6999999999999997</v>
      </c>
      <c r="I37">
        <f t="shared" si="22"/>
        <v>2.5999999999999996</v>
      </c>
      <c r="J37">
        <f t="shared" si="22"/>
        <v>3.2</v>
      </c>
      <c r="K37">
        <f t="shared" si="22"/>
        <v>2.0499999999999998</v>
      </c>
      <c r="L37">
        <f t="shared" si="22"/>
        <v>1.9</v>
      </c>
      <c r="M37">
        <f>SUM(C37:L37)</f>
        <v>21.849999999999998</v>
      </c>
    </row>
    <row r="38" spans="2:25">
      <c r="B38" s="10" t="s">
        <v>15</v>
      </c>
      <c r="C38">
        <f t="shared" ref="C38:C43" si="23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22"/>
        <v>1.9999999999999998</v>
      </c>
      <c r="E38">
        <f t="shared" si="22"/>
        <v>2.7</v>
      </c>
      <c r="F38">
        <f t="shared" si="22"/>
        <v>2.1999999999999997</v>
      </c>
      <c r="G38">
        <f t="shared" si="22"/>
        <v>2</v>
      </c>
      <c r="H38">
        <f t="shared" si="22"/>
        <v>1.85</v>
      </c>
      <c r="I38">
        <f t="shared" si="22"/>
        <v>2.65</v>
      </c>
      <c r="J38">
        <f t="shared" si="22"/>
        <v>3.65</v>
      </c>
      <c r="K38">
        <f t="shared" si="22"/>
        <v>2.2999999999999998</v>
      </c>
      <c r="L38">
        <f t="shared" si="22"/>
        <v>1.95</v>
      </c>
      <c r="M38">
        <f t="shared" ref="M38:M43" si="24">SUM(C38:L38)</f>
        <v>24.4</v>
      </c>
    </row>
    <row r="39" spans="2:25">
      <c r="B39" s="10" t="s">
        <v>16</v>
      </c>
      <c r="C39">
        <f t="shared" si="23"/>
        <v>2.5</v>
      </c>
      <c r="D39">
        <f t="shared" si="22"/>
        <v>1.4500000000000002</v>
      </c>
      <c r="E39">
        <f t="shared" si="22"/>
        <v>1.55</v>
      </c>
      <c r="F39">
        <f t="shared" si="22"/>
        <v>2.1000000000000005</v>
      </c>
      <c r="G39">
        <f t="shared" si="22"/>
        <v>2.25</v>
      </c>
      <c r="H39">
        <f t="shared" si="22"/>
        <v>1.8499999999999999</v>
      </c>
      <c r="I39">
        <f t="shared" si="22"/>
        <v>2.0499999999999998</v>
      </c>
      <c r="J39">
        <f t="shared" si="22"/>
        <v>3.65</v>
      </c>
      <c r="K39">
        <f t="shared" si="22"/>
        <v>1.7500000000000002</v>
      </c>
      <c r="L39">
        <f t="shared" si="22"/>
        <v>1.5</v>
      </c>
      <c r="M39">
        <f t="shared" si="24"/>
        <v>20.65</v>
      </c>
    </row>
    <row r="40" spans="2:25">
      <c r="B40" s="10" t="s">
        <v>17</v>
      </c>
      <c r="C40">
        <f t="shared" si="23"/>
        <v>3.4000000000000004</v>
      </c>
      <c r="D40">
        <f t="shared" si="22"/>
        <v>1.7</v>
      </c>
      <c r="E40">
        <f t="shared" si="22"/>
        <v>1.9</v>
      </c>
      <c r="F40">
        <f t="shared" si="22"/>
        <v>2.9</v>
      </c>
      <c r="G40">
        <f t="shared" si="22"/>
        <v>3.2</v>
      </c>
      <c r="H40">
        <f t="shared" si="22"/>
        <v>2.5499999999999998</v>
      </c>
      <c r="I40">
        <f t="shared" si="22"/>
        <v>2.25</v>
      </c>
      <c r="J40">
        <f t="shared" si="22"/>
        <v>4.75</v>
      </c>
      <c r="K40">
        <f t="shared" si="22"/>
        <v>2.2000000000000002</v>
      </c>
      <c r="L40">
        <f t="shared" si="22"/>
        <v>1.85</v>
      </c>
      <c r="M40">
        <f t="shared" si="24"/>
        <v>26.700000000000003</v>
      </c>
    </row>
    <row r="41" spans="2:25">
      <c r="B41" s="10" t="s">
        <v>18</v>
      </c>
      <c r="C41">
        <f t="shared" si="23"/>
        <v>3.4000000000000004</v>
      </c>
      <c r="D41">
        <f t="shared" si="22"/>
        <v>2.0500000000000003</v>
      </c>
      <c r="E41">
        <f t="shared" si="22"/>
        <v>2.6999999999999997</v>
      </c>
      <c r="F41">
        <f t="shared" si="22"/>
        <v>2.5500000000000003</v>
      </c>
      <c r="G41">
        <f t="shared" si="22"/>
        <v>2.5</v>
      </c>
      <c r="H41">
        <f t="shared" si="22"/>
        <v>2.15</v>
      </c>
      <c r="I41">
        <f t="shared" si="22"/>
        <v>2.7499999999999996</v>
      </c>
      <c r="J41">
        <f t="shared" si="22"/>
        <v>4.5500000000000007</v>
      </c>
      <c r="K41">
        <f t="shared" si="22"/>
        <v>2.4</v>
      </c>
      <c r="L41">
        <f t="shared" si="22"/>
        <v>1.9999999999999998</v>
      </c>
      <c r="M41">
        <f t="shared" si="24"/>
        <v>27.05</v>
      </c>
    </row>
    <row r="42" spans="2:25">
      <c r="B42" s="10" t="s">
        <v>19</v>
      </c>
      <c r="C42">
        <f t="shared" si="23"/>
        <v>3.8999999999999995</v>
      </c>
      <c r="D42">
        <f t="shared" si="22"/>
        <v>2.85</v>
      </c>
      <c r="E42">
        <f t="shared" si="22"/>
        <v>3.15</v>
      </c>
      <c r="F42">
        <f t="shared" si="22"/>
        <v>2.7</v>
      </c>
      <c r="G42">
        <f t="shared" si="22"/>
        <v>2.4499999999999997</v>
      </c>
      <c r="H42">
        <f t="shared" si="22"/>
        <v>2.35</v>
      </c>
      <c r="I42">
        <f t="shared" si="22"/>
        <v>3.3999999999999995</v>
      </c>
      <c r="J42">
        <f t="shared" si="22"/>
        <v>4.4000000000000004</v>
      </c>
      <c r="K42">
        <f t="shared" si="22"/>
        <v>3</v>
      </c>
      <c r="L42">
        <f t="shared" si="22"/>
        <v>2.65</v>
      </c>
      <c r="M42">
        <f t="shared" si="24"/>
        <v>30.85</v>
      </c>
    </row>
    <row r="43" spans="2:25">
      <c r="B43" s="10" t="s">
        <v>20</v>
      </c>
      <c r="C43">
        <f t="shared" si="23"/>
        <v>2.5999999999999996</v>
      </c>
      <c r="D43">
        <f t="shared" si="22"/>
        <v>1.55</v>
      </c>
      <c r="E43">
        <f t="shared" si="22"/>
        <v>1.6500000000000001</v>
      </c>
      <c r="F43">
        <f t="shared" si="22"/>
        <v>2.25</v>
      </c>
      <c r="G43">
        <f t="shared" si="22"/>
        <v>2.3999999999999995</v>
      </c>
      <c r="H43">
        <f t="shared" si="22"/>
        <v>1.9999999999999998</v>
      </c>
      <c r="I43">
        <f t="shared" si="22"/>
        <v>2.4</v>
      </c>
      <c r="J43">
        <f t="shared" si="22"/>
        <v>3.9</v>
      </c>
      <c r="K43">
        <f t="shared" si="22"/>
        <v>1.9000000000000001</v>
      </c>
      <c r="L43">
        <f t="shared" si="22"/>
        <v>1.65</v>
      </c>
      <c r="M43">
        <f t="shared" si="24"/>
        <v>22.299999999999997</v>
      </c>
    </row>
    <row r="44" spans="2:25">
      <c r="B44" s="52" t="s">
        <v>64</v>
      </c>
      <c r="C44">
        <f>SUM(C37:C43)</f>
        <v>21.4</v>
      </c>
      <c r="D44">
        <f t="shared" ref="D44:M44" si="25">SUM(D37:D43)</f>
        <v>13.500000000000002</v>
      </c>
      <c r="E44">
        <f t="shared" si="25"/>
        <v>16.149999999999999</v>
      </c>
      <c r="F44">
        <f t="shared" si="25"/>
        <v>16.55</v>
      </c>
      <c r="G44">
        <f t="shared" si="25"/>
        <v>16.45</v>
      </c>
      <c r="H44">
        <f t="shared" si="25"/>
        <v>14.45</v>
      </c>
      <c r="I44">
        <f t="shared" si="25"/>
        <v>18.099999999999998</v>
      </c>
      <c r="J44">
        <f t="shared" si="25"/>
        <v>28.1</v>
      </c>
      <c r="K44">
        <f t="shared" si="25"/>
        <v>15.600000000000001</v>
      </c>
      <c r="L44">
        <f t="shared" si="25"/>
        <v>13.5</v>
      </c>
      <c r="M44">
        <f t="shared" si="25"/>
        <v>173.8</v>
      </c>
    </row>
    <row r="45" spans="2:25">
      <c r="B45"/>
    </row>
    <row r="46" spans="2:25">
      <c r="B46" s="41" t="s">
        <v>65</v>
      </c>
      <c r="E46" s="41" t="s">
        <v>68</v>
      </c>
    </row>
    <row r="47" spans="2:25">
      <c r="B47" t="str">
        <f>_xlfn.XLOOKUP(C47,M37:M43,B37:B43)</f>
        <v>F</v>
      </c>
      <c r="C47">
        <f>MAX(M37:M43)</f>
        <v>30.85</v>
      </c>
      <c r="E47">
        <v>100</v>
      </c>
    </row>
    <row r="48" spans="2:25">
      <c r="B48" s="41" t="s">
        <v>66</v>
      </c>
    </row>
    <row r="49" spans="2:3">
      <c r="B49" t="str">
        <f>_xlfn.XLOOKUP(C49,E4:E10,B4:B10)</f>
        <v>A</v>
      </c>
      <c r="C49">
        <f>MIN(E4:E10)</f>
        <v>1</v>
      </c>
    </row>
    <row r="50" spans="2:3">
      <c r="B50" s="41" t="s">
        <v>67</v>
      </c>
    </row>
    <row r="51" spans="2:3">
      <c r="B51"/>
      <c r="C51">
        <f>C49*(SUM(E25:E34))</f>
        <v>3</v>
      </c>
    </row>
    <row r="52" spans="2:3">
      <c r="B52"/>
    </row>
    <row r="53" spans="2:3">
      <c r="B53"/>
    </row>
    <row r="54" spans="2:3">
      <c r="B54" s="41" t="s">
        <v>60</v>
      </c>
    </row>
    <row r="55" spans="2:3">
      <c r="B55" s="41" t="s">
        <v>63</v>
      </c>
      <c r="C55">
        <f>C49</f>
        <v>1</v>
      </c>
    </row>
    <row r="56" spans="2:3">
      <c r="B56" s="41" t="s">
        <v>61</v>
      </c>
      <c r="C56">
        <v>6</v>
      </c>
    </row>
    <row r="57" spans="2:3">
      <c r="B57" s="41" t="s">
        <v>62</v>
      </c>
      <c r="C57">
        <v>0</v>
      </c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4241E-080E-47E4-95A9-F41CE75AFC52}">
  <dimension ref="A1:AA47"/>
  <sheetViews>
    <sheetView showGridLines="0" topLeftCell="B6" zoomScale="70" zoomScaleNormal="70" workbookViewId="0">
      <selection activeCell="Z3" sqref="Z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6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6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>
      <c r="B12" s="64" t="s">
        <v>21</v>
      </c>
      <c r="C12" s="65" t="s">
        <v>3</v>
      </c>
      <c r="D12" s="67" t="s">
        <v>4</v>
      </c>
      <c r="E12" s="67" t="s">
        <v>5</v>
      </c>
      <c r="F12" s="67" t="s">
        <v>6</v>
      </c>
      <c r="G12" s="62" t="s">
        <v>7</v>
      </c>
      <c r="J12" s="19" t="s">
        <v>22</v>
      </c>
      <c r="K12" s="21" t="s">
        <v>23</v>
      </c>
      <c r="L12" s="20" t="s">
        <v>24</v>
      </c>
      <c r="Y12" s="51" t="s">
        <v>58</v>
      </c>
      <c r="Z12" s="51" t="s">
        <v>59</v>
      </c>
    </row>
    <row r="13" spans="2:26" ht="34.950000000000003" customHeight="1">
      <c r="B13" s="64"/>
      <c r="C13" s="66"/>
      <c r="D13" s="68"/>
      <c r="E13" s="68"/>
      <c r="F13" s="68"/>
      <c r="G13" s="63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6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6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24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ref="X19:X24" si="8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8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8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8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8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8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9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9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9"/>
        <v>0,1x1+ 0,1x2+ 0,4x3+ 0,15x4+ 0,1x5+ -0,15x6</v>
      </c>
      <c r="R28" s="10" t="s">
        <v>14</v>
      </c>
      <c r="S28" s="2">
        <f>S18</f>
        <v>2</v>
      </c>
      <c r="T28" s="2">
        <f t="shared" ref="T28:X28" si="10">T18</f>
        <v>4</v>
      </c>
      <c r="U28" s="2">
        <f t="shared" si="10"/>
        <v>1</v>
      </c>
      <c r="V28" s="2">
        <f t="shared" si="10"/>
        <v>3</v>
      </c>
      <c r="W28" s="2">
        <f t="shared" si="10"/>
        <v>4</v>
      </c>
      <c r="X28" s="2">
        <f t="shared" si="10"/>
        <v>0</v>
      </c>
      <c r="Y28" s="1">
        <f t="shared" ref="Y28:Y34" si="11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9"/>
        <v>0,05x1+ 0,05x2+ 0,5x3+ 0,15x4+ 0,1x5+ -0,15x6</v>
      </c>
      <c r="R29" s="10" t="s">
        <v>15</v>
      </c>
      <c r="S29" s="2">
        <f t="shared" ref="S29:X34" si="12">S19</f>
        <v>3</v>
      </c>
      <c r="T29" s="2">
        <f t="shared" si="12"/>
        <v>5</v>
      </c>
      <c r="U29" s="2">
        <f t="shared" si="12"/>
        <v>2</v>
      </c>
      <c r="V29" s="2">
        <f t="shared" si="12"/>
        <v>3</v>
      </c>
      <c r="W29" s="2">
        <f t="shared" si="12"/>
        <v>3</v>
      </c>
      <c r="X29" s="2">
        <f t="shared" si="12"/>
        <v>1</v>
      </c>
      <c r="Y29" s="1">
        <f t="shared" si="11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9"/>
        <v>0,05x1+ 0,1x2+ 0,35x3+ 0,15x4+ 0,1x5+ -0,25x6</v>
      </c>
      <c r="R30" s="10" t="s">
        <v>16</v>
      </c>
      <c r="S30" s="2">
        <f t="shared" si="12"/>
        <v>2</v>
      </c>
      <c r="T30" s="2">
        <f t="shared" si="12"/>
        <v>1</v>
      </c>
      <c r="U30" s="2">
        <f t="shared" si="12"/>
        <v>3</v>
      </c>
      <c r="V30" s="2">
        <f t="shared" si="12"/>
        <v>2</v>
      </c>
      <c r="W30" s="2">
        <f t="shared" si="12"/>
        <v>3</v>
      </c>
      <c r="X30" s="2">
        <f t="shared" si="12"/>
        <v>0</v>
      </c>
      <c r="Y30" s="1">
        <f t="shared" si="11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9"/>
        <v>0,1x1+ 0,1x2+ 0,15x3+ 0,35x4+ 0,2x5+ -0,1x6</v>
      </c>
      <c r="R31" s="10" t="s">
        <v>17</v>
      </c>
      <c r="S31" s="2">
        <f t="shared" si="12"/>
        <v>2</v>
      </c>
      <c r="T31" s="2">
        <f t="shared" si="12"/>
        <v>2</v>
      </c>
      <c r="U31" s="2">
        <f t="shared" si="12"/>
        <v>5</v>
      </c>
      <c r="V31" s="2">
        <f t="shared" si="12"/>
        <v>2</v>
      </c>
      <c r="W31" s="2">
        <f t="shared" si="12"/>
        <v>2</v>
      </c>
      <c r="X31" s="2">
        <f t="shared" si="12"/>
        <v>0</v>
      </c>
      <c r="Y31" s="1">
        <f t="shared" si="11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9"/>
        <v>0,1x1+ 0,1x2+ 0,65x3+ 0,25x4+ 0,3x5+ -0,1x6</v>
      </c>
      <c r="R32" s="10" t="s">
        <v>18</v>
      </c>
      <c r="S32" s="2">
        <f t="shared" si="12"/>
        <v>3</v>
      </c>
      <c r="T32" s="2">
        <f t="shared" si="12"/>
        <v>4</v>
      </c>
      <c r="U32" s="2">
        <f t="shared" si="12"/>
        <v>3</v>
      </c>
      <c r="V32" s="2">
        <f t="shared" si="12"/>
        <v>2</v>
      </c>
      <c r="W32" s="2">
        <f t="shared" si="12"/>
        <v>5</v>
      </c>
      <c r="X32" s="2">
        <f t="shared" si="12"/>
        <v>1</v>
      </c>
      <c r="Y32" s="1">
        <f t="shared" si="11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9"/>
        <v>0,2x1+ 0,15x2+ 0,2x3+ 0,15x4+ 0,1x5+ -0,2x6</v>
      </c>
      <c r="R33" s="10" t="s">
        <v>19</v>
      </c>
      <c r="S33" s="2">
        <f t="shared" si="12"/>
        <v>5</v>
      </c>
      <c r="T33" s="2">
        <f t="shared" si="12"/>
        <v>4</v>
      </c>
      <c r="U33" s="2">
        <f t="shared" si="12"/>
        <v>2</v>
      </c>
      <c r="V33" s="2">
        <f t="shared" si="12"/>
        <v>4</v>
      </c>
      <c r="W33" s="2">
        <f t="shared" si="12"/>
        <v>4</v>
      </c>
      <c r="X33" s="2">
        <f t="shared" si="12"/>
        <v>0</v>
      </c>
      <c r="Y33" s="1">
        <f t="shared" si="11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9"/>
        <v>0,15x1+ 0,15x2+ 0,15x3+ 0,15x4+ 0,1x5+ -0,3x6</v>
      </c>
      <c r="R34" s="10" t="s">
        <v>20</v>
      </c>
      <c r="S34" s="2">
        <f t="shared" si="12"/>
        <v>2</v>
      </c>
      <c r="T34" s="2">
        <f t="shared" si="12"/>
        <v>1</v>
      </c>
      <c r="U34" s="2">
        <f t="shared" si="12"/>
        <v>3</v>
      </c>
      <c r="V34" s="2">
        <f t="shared" si="12"/>
        <v>3</v>
      </c>
      <c r="W34" s="2">
        <f t="shared" si="12"/>
        <v>3</v>
      </c>
      <c r="X34" s="2">
        <f t="shared" si="12"/>
        <v>0</v>
      </c>
      <c r="Y34" s="1">
        <f t="shared" si="11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13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13"/>
        <v>2.5</v>
      </c>
      <c r="F37">
        <f t="shared" si="13"/>
        <v>1.85</v>
      </c>
      <c r="G37">
        <f t="shared" si="13"/>
        <v>1.65</v>
      </c>
      <c r="H37">
        <f t="shared" si="13"/>
        <v>1.6999999999999997</v>
      </c>
      <c r="I37">
        <f t="shared" si="13"/>
        <v>2.5999999999999996</v>
      </c>
      <c r="J37">
        <f t="shared" si="13"/>
        <v>3.2</v>
      </c>
      <c r="K37">
        <f t="shared" si="13"/>
        <v>2.0499999999999998</v>
      </c>
      <c r="L37">
        <f t="shared" si="13"/>
        <v>1.9</v>
      </c>
    </row>
    <row r="38" spans="2:25">
      <c r="B38" s="10" t="s">
        <v>15</v>
      </c>
      <c r="C38">
        <f t="shared" ref="C38:C43" si="14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13"/>
        <v>1.9999999999999998</v>
      </c>
      <c r="E38">
        <f t="shared" si="13"/>
        <v>2.7</v>
      </c>
      <c r="F38">
        <f t="shared" si="13"/>
        <v>2.1999999999999997</v>
      </c>
      <c r="G38">
        <f t="shared" si="13"/>
        <v>2</v>
      </c>
      <c r="H38">
        <f t="shared" si="13"/>
        <v>1.85</v>
      </c>
      <c r="I38">
        <f t="shared" si="13"/>
        <v>2.65</v>
      </c>
      <c r="J38">
        <f t="shared" si="13"/>
        <v>3.65</v>
      </c>
      <c r="K38">
        <f t="shared" si="13"/>
        <v>2.2999999999999998</v>
      </c>
      <c r="L38">
        <f t="shared" si="13"/>
        <v>1.95</v>
      </c>
    </row>
    <row r="39" spans="2:25">
      <c r="B39" s="10" t="s">
        <v>16</v>
      </c>
      <c r="C39">
        <f t="shared" si="14"/>
        <v>2.5</v>
      </c>
      <c r="D39">
        <f t="shared" si="13"/>
        <v>1.4500000000000002</v>
      </c>
      <c r="E39">
        <f t="shared" si="13"/>
        <v>1.55</v>
      </c>
      <c r="F39">
        <f t="shared" si="13"/>
        <v>2.1000000000000005</v>
      </c>
      <c r="G39">
        <f t="shared" si="13"/>
        <v>2.25</v>
      </c>
      <c r="H39">
        <f t="shared" si="13"/>
        <v>1.8499999999999999</v>
      </c>
      <c r="I39">
        <f t="shared" si="13"/>
        <v>2.0499999999999998</v>
      </c>
      <c r="J39">
        <f t="shared" si="13"/>
        <v>3.65</v>
      </c>
      <c r="K39">
        <f t="shared" si="13"/>
        <v>1.7500000000000002</v>
      </c>
      <c r="L39">
        <f t="shared" si="13"/>
        <v>1.5</v>
      </c>
    </row>
    <row r="40" spans="2:25">
      <c r="B40" s="10" t="s">
        <v>17</v>
      </c>
      <c r="C40">
        <f t="shared" si="14"/>
        <v>3.4000000000000004</v>
      </c>
      <c r="D40">
        <f t="shared" si="13"/>
        <v>1.7</v>
      </c>
      <c r="E40">
        <f t="shared" si="13"/>
        <v>1.9</v>
      </c>
      <c r="F40">
        <f t="shared" si="13"/>
        <v>2.9</v>
      </c>
      <c r="G40">
        <f t="shared" si="13"/>
        <v>3.2</v>
      </c>
      <c r="H40">
        <f t="shared" si="13"/>
        <v>2.5499999999999998</v>
      </c>
      <c r="I40">
        <f t="shared" si="13"/>
        <v>2.25</v>
      </c>
      <c r="J40">
        <f t="shared" si="13"/>
        <v>4.75</v>
      </c>
      <c r="K40">
        <f t="shared" si="13"/>
        <v>2.2000000000000002</v>
      </c>
      <c r="L40">
        <f t="shared" si="13"/>
        <v>1.85</v>
      </c>
    </row>
    <row r="41" spans="2:25">
      <c r="B41" s="10" t="s">
        <v>18</v>
      </c>
      <c r="C41">
        <f t="shared" si="14"/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3"/>
        <v>2.5500000000000003</v>
      </c>
      <c r="G41">
        <f t="shared" si="13"/>
        <v>2.5</v>
      </c>
      <c r="H41">
        <f t="shared" si="13"/>
        <v>2.15</v>
      </c>
      <c r="I41">
        <f t="shared" si="13"/>
        <v>2.7499999999999996</v>
      </c>
      <c r="J41">
        <f t="shared" si="13"/>
        <v>4.5500000000000007</v>
      </c>
      <c r="K41">
        <f t="shared" si="13"/>
        <v>2.4</v>
      </c>
      <c r="L41">
        <f t="shared" si="13"/>
        <v>1.9999999999999998</v>
      </c>
    </row>
    <row r="42" spans="2:25">
      <c r="B42" s="10" t="s">
        <v>19</v>
      </c>
      <c r="C42">
        <f t="shared" si="14"/>
        <v>3.8999999999999995</v>
      </c>
      <c r="D42">
        <f t="shared" si="13"/>
        <v>2.85</v>
      </c>
      <c r="E42">
        <f t="shared" si="13"/>
        <v>3.15</v>
      </c>
      <c r="F42">
        <f t="shared" si="13"/>
        <v>2.7</v>
      </c>
      <c r="G42">
        <f t="shared" si="13"/>
        <v>2.4499999999999997</v>
      </c>
      <c r="H42">
        <f t="shared" si="13"/>
        <v>2.35</v>
      </c>
      <c r="I42">
        <f t="shared" si="13"/>
        <v>3.3999999999999995</v>
      </c>
      <c r="J42">
        <f t="shared" si="13"/>
        <v>4.4000000000000004</v>
      </c>
      <c r="K42">
        <f t="shared" si="13"/>
        <v>3</v>
      </c>
      <c r="L42">
        <f t="shared" si="13"/>
        <v>2.65</v>
      </c>
    </row>
    <row r="43" spans="2:25">
      <c r="B43" s="10" t="s">
        <v>20</v>
      </c>
      <c r="C43">
        <f t="shared" si="14"/>
        <v>2.5999999999999996</v>
      </c>
      <c r="D43">
        <f t="shared" si="13"/>
        <v>1.55</v>
      </c>
      <c r="E43">
        <f t="shared" si="13"/>
        <v>1.6500000000000001</v>
      </c>
      <c r="F43">
        <f t="shared" si="13"/>
        <v>2.25</v>
      </c>
      <c r="G43">
        <f t="shared" si="13"/>
        <v>2.3999999999999995</v>
      </c>
      <c r="H43">
        <f t="shared" si="13"/>
        <v>1.9999999999999998</v>
      </c>
      <c r="I43">
        <f t="shared" si="13"/>
        <v>2.4</v>
      </c>
      <c r="J43">
        <f t="shared" si="13"/>
        <v>3.9</v>
      </c>
      <c r="K43">
        <f t="shared" si="13"/>
        <v>1.9000000000000001</v>
      </c>
      <c r="L43">
        <f t="shared" si="13"/>
        <v>1.65</v>
      </c>
    </row>
    <row r="44" spans="2:25">
      <c r="B44"/>
    </row>
    <row r="45" spans="2:25">
      <c r="B45"/>
    </row>
    <row r="46" spans="2:25">
      <c r="B46"/>
    </row>
    <row r="47" spans="2:25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C84AD-7F19-477A-80B6-FF07735EB866}">
  <dimension ref="A1:X47"/>
  <sheetViews>
    <sheetView showGridLines="0" topLeftCell="A2" zoomScale="55" zoomScaleNormal="55" workbookViewId="0">
      <selection activeCell="D41" sqref="D41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64" t="s">
        <v>21</v>
      </c>
      <c r="C12" s="65" t="s">
        <v>3</v>
      </c>
      <c r="D12" s="67" t="s">
        <v>4</v>
      </c>
      <c r="E12" s="67" t="s">
        <v>5</v>
      </c>
      <c r="F12" s="67" t="s">
        <v>6</v>
      </c>
      <c r="G12" s="62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64"/>
      <c r="C13" s="66"/>
      <c r="D13" s="68"/>
      <c r="E13" s="68"/>
      <c r="F13" s="68"/>
      <c r="G13" s="63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6DBC-23F0-43CD-A57E-4B1CEF4F157C}">
  <dimension ref="A1:X47"/>
  <sheetViews>
    <sheetView showGridLines="0" zoomScale="55" zoomScaleNormal="55" workbookViewId="0">
      <selection activeCell="R13" sqref="R13:X1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64" t="s">
        <v>21</v>
      </c>
      <c r="C12" s="65" t="s">
        <v>3</v>
      </c>
      <c r="D12" s="67" t="s">
        <v>4</v>
      </c>
      <c r="E12" s="67" t="s">
        <v>5</v>
      </c>
      <c r="F12" s="67" t="s">
        <v>6</v>
      </c>
      <c r="G12" s="62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64"/>
      <c r="C13" s="66"/>
      <c r="D13" s="68"/>
      <c r="E13" s="68"/>
      <c r="F13" s="68"/>
      <c r="G13" s="63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7A55E-8665-4C84-9920-F7BBF0B512DB}">
  <dimension ref="A1:R39"/>
  <sheetViews>
    <sheetView showGridLines="0" zoomScale="70" zoomScaleNormal="70" workbookViewId="0">
      <selection activeCell="A24" sqref="A24:XFD34"/>
    </sheetView>
  </sheetViews>
  <sheetFormatPr defaultColWidth="8.6640625" defaultRowHeight="14.4"/>
  <cols>
    <col min="1" max="1" width="8.6640625" customWidth="1"/>
    <col min="2" max="2" width="19" style="3" bestFit="1" customWidth="1"/>
    <col min="3" max="10" width="13.6640625" customWidth="1"/>
    <col min="11" max="11" width="21.5546875" bestFit="1" customWidth="1"/>
    <col min="12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64" t="s">
        <v>21</v>
      </c>
      <c r="C12" s="65" t="s">
        <v>3</v>
      </c>
      <c r="D12" s="67" t="s">
        <v>4</v>
      </c>
      <c r="E12" s="67" t="s">
        <v>5</v>
      </c>
      <c r="F12" s="67" t="s">
        <v>6</v>
      </c>
      <c r="G12" s="62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64"/>
      <c r="C13" s="66"/>
      <c r="D13" s="68"/>
      <c r="E13" s="68"/>
      <c r="F13" s="68"/>
      <c r="G13" s="63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31" spans="1:18">
      <c r="B31" s="56" t="s">
        <v>2</v>
      </c>
      <c r="C31" s="58" t="s">
        <v>43</v>
      </c>
      <c r="D31" s="59"/>
      <c r="E31" s="59"/>
      <c r="F31" s="59"/>
    </row>
    <row r="32" spans="1:18">
      <c r="B32" s="57"/>
      <c r="C32" s="58"/>
      <c r="D32" s="59"/>
      <c r="E32" s="59"/>
      <c r="F32" s="59"/>
    </row>
    <row r="33" spans="2:6">
      <c r="B33" s="7" t="s">
        <v>20</v>
      </c>
      <c r="C33" s="60" t="s">
        <v>44</v>
      </c>
      <c r="D33" s="60"/>
      <c r="E33" s="60"/>
      <c r="F33" s="60"/>
    </row>
    <row r="34" spans="2:6">
      <c r="B34" s="7" t="s">
        <v>17</v>
      </c>
      <c r="C34" s="60" t="s">
        <v>45</v>
      </c>
      <c r="D34" s="60"/>
      <c r="E34" s="60"/>
      <c r="F34" s="60"/>
    </row>
    <row r="35" spans="2:6">
      <c r="B35" s="12" t="s">
        <v>14</v>
      </c>
      <c r="C35" s="60" t="s">
        <v>51</v>
      </c>
      <c r="D35" s="60"/>
      <c r="E35" s="60"/>
      <c r="F35" s="60"/>
    </row>
    <row r="36" spans="2:6">
      <c r="B36" s="12" t="s">
        <v>16</v>
      </c>
      <c r="C36" s="60" t="s">
        <v>47</v>
      </c>
      <c r="D36" s="60"/>
      <c r="E36" s="60"/>
      <c r="F36" s="60"/>
    </row>
    <row r="37" spans="2:6">
      <c r="B37" s="13" t="s">
        <v>48</v>
      </c>
      <c r="C37" s="53" t="s">
        <v>49</v>
      </c>
      <c r="D37" s="54"/>
      <c r="E37" s="54"/>
      <c r="F37" s="55"/>
    </row>
    <row r="38" spans="2:6">
      <c r="B38" s="12" t="s">
        <v>19</v>
      </c>
      <c r="C38" s="53" t="s">
        <v>50</v>
      </c>
      <c r="D38" s="54"/>
      <c r="E38" s="54"/>
      <c r="F38" s="55"/>
    </row>
    <row r="39" spans="2:6">
      <c r="B39"/>
    </row>
  </sheetData>
  <mergeCells count="14">
    <mergeCell ref="C37:F37"/>
    <mergeCell ref="C38:F38"/>
    <mergeCell ref="B31:B32"/>
    <mergeCell ref="C31:F32"/>
    <mergeCell ref="C33:F33"/>
    <mergeCell ref="C34:F34"/>
    <mergeCell ref="C35:F35"/>
    <mergeCell ref="C36:F36"/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83B93D2C0B4B44894B57C95EDB7C175" ma:contentTypeVersion="4" ma:contentTypeDescription="Create a new document." ma:contentTypeScope="" ma:versionID="abc6b69c464f0c1f564918d5cc6b2be0">
  <xsd:schema xmlns:xsd="http://www.w3.org/2001/XMLSchema" xmlns:xs="http://www.w3.org/2001/XMLSchema" xmlns:p="http://schemas.microsoft.com/office/2006/metadata/properties" xmlns:ns2="1d221033-8f68-4f64-8173-c37f62a0bd87" targetNamespace="http://schemas.microsoft.com/office/2006/metadata/properties" ma:root="true" ma:fieldsID="61d3ffffcd31529c89d25309ac155b3a" ns2:_="">
    <xsd:import namespace="1d221033-8f68-4f64-8173-c37f62a0bd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221033-8f68-4f64-8173-c37f62a0bd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9F9414-31D7-4DF4-88B7-66C178E0A1D4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1d221033-8f68-4f64-8173-c37f62a0bd8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919FE8E-9B8B-494A-96CD-460D2B41AC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4EE915-40F5-4CCE-9CC0-BE40D0FEFA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221033-8f68-4f64-8173-c37f62a0bd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Arya Case (Solution)</vt:lpstr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Arda Aydin</cp:lastModifiedBy>
  <cp:revision/>
  <dcterms:created xsi:type="dcterms:W3CDTF">2025-03-24T15:02:08Z</dcterms:created>
  <dcterms:modified xsi:type="dcterms:W3CDTF">2026-03-06T10:19:16Z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0x010100A83B93D2C0B4B44894B57C95EDB7C175</vt:lpwstr>
  </property>
</Properties>
</file>