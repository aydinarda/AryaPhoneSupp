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8020EA01-E9B5-4B13-A759-906C1D96E5F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<sst xmlns="http://schemas.openxmlformats.org/spreadsheetml/2006/main" count="556" uniqueCount="101">
  <si>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</si>
  <si>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</si>
  <si>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</si>
  <si>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</si>
  <si>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</si>
  <si>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</si>
  <si>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</si>
  <si>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</si>
  <si>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</si>
  <si>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</si>
  <si>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</si>
  <si>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</si>
  <si>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</si>
  <si>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</si>
  <si>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</si>
  <si>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</si>
  <si>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</si>
  <si>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</si>
  <si>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</si>
  <si>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</si>
  <si>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</si>
  <si>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</si>
  <si>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</si>
  <si>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</si>
  <si>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</si>
  <si>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</si>
  <si>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</si>
  <si>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</si>
  <si>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</si>
  <si>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</si>
  <si>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</si>
  <si>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</si>
  <si>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</si>
  <si>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</si>
  <si>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</si>
  <si>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</si>
  <si>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</si>
  <si>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</si>
  <si>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</si>
  <si>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</si>
  <si>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</si>
  <si>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</si>
  <si>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</si>
  <si>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</si>
  <si>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</si>
  <si>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</si>
  <si>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</si>
  <si>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</si>
  <si>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</si>
  <si>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</si>
  <si>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</si>
  <si>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</si>
  <si>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</si>
  <si>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</si>
  <si>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</si>
  <si>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</si>
  <si>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</si>
  <si>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</si>
  <si>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</si>
  <si>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</si>
  <si>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</si>
  <si>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</si>
  <si>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</si>
  <si>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</si>
  <si>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</si>
  <si>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</si>
  <si>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</si>
  <si>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</si>
  <si>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</si>
  <si>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</si>
  <si>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</si>
  <si>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</si>
  <si>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</si>
  <si>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</si>
  <si>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</si>
  <si>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</si>
  <si>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</si>
  <si>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</si>
  <si>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</si>
  <si>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</si>
  <si>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</si>
  <si>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</si>
  <si>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</si>
  <si>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</si>
  <si>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</si>
  <si>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</si>
  <si>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</si>
  <si>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</si>
  <si>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</si>
  <si>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</si>
  <si>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</si>
  <si>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</si>
  <si>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</si>
  <si>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</si>
  <si>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</si>
  <si>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</si>
  <si>
    <t>Price Sensitivity</t>
  </si>
  <si>
    <t>Category</t>
  </si>
  <si>
    <t>keyboard</t>
  </si>
  <si>
    <t>camera</t>
  </si>
  <si>
    <t>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</si>
</sst>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0" fontId="0" fillId="14" borderId="0" xfId="0" applyFill="1"/>
    <xf numFmtId="164" fontId="0" fillId="14" borderId="0" xfId="0" applyNumberFormat="1" applyFill="1"/>
    <xf numFmtId="1" fontId="0" fillId="14" borderId="0" xfId="0" applyNumberFormat="1" applyFill="1"/>
    <xf numFmtId="0" fontId="5" fillId="15" borderId="1" xfId="0" applyFont="1" applyFill="1" applyBorder="1" applyAlignment="1">
      <alignment horizontal="center" vertical="center" wrapText="1"/>
    </xf>
    <xf numFmtId="164" fontId="0" fillId="15" borderId="1" xfId="0" applyNumberFormat="1" applyFill="1" applyBorder="1" applyAlignment="1">
      <alignment horizontal="center"/>
    </xf>
    <xf numFmtId="0" fontId="0" fillId="15" borderId="0" xfId="0" applyFill="1"/>
    <xf numFmtId="0" fontId="0" fillId="16" borderId="0" xfId="0" applyFill="1"/>
    <xf numFmtId="1" fontId="0" fillId="16" borderId="0" xfId="0" applyNumberFormat="1" applyFill="1"/>
    <xf numFmtId="0" fontId="5" fillId="14" borderId="1" xfId="0" applyFont="1" applyFill="1" applyBorder="1" applyAlignment="1">
      <alignment horizontal="center" vertical="center" wrapText="1"/>
    </xf>
    <xf numFmtId="164" fontId="0" fillId="1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workbookViewId="0">
      <selection activeCell="E4" sqref="E4"/>
    </sheetView>
  </sheetViews>
  <sheetFormatPr defaultRowHeight="14.4" x14ac:dyDescent="0.3"/>
  <cols>
    <col min="5" max="5" width="18.21875" bestFit="1" customWidth="1"/>
    <col min="6" max="6" width="20" style="56" bestFit="1" customWidth="1"/>
    <col min="7" max="8" width="8.88671875" style="62"/>
    <col min="9" max="9" width="8.88671875" style="56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56" t="s">
        <v>5</v>
      </c>
      <c r="G1" s="62" t="s">
        <v>6</v>
      </c>
      <c r="H1" s="62" t="s">
        <v>7</v>
      </c>
      <c r="I1" s="56" t="s">
        <v>8</v>
      </c>
      <c r="J1" t="s">
        <v>9</v>
      </c>
      <c r="K1" t="s">
        <v>97</v>
      </c>
    </row>
    <row r="2" spans="1:11" x14ac:dyDescent="0.3">
      <c r="A2" t="s">
        <v>10</v>
      </c>
      <c r="B2" s="55">
        <v>2.2120000000000002</v>
      </c>
      <c r="C2" s="55">
        <v>3.371</v>
      </c>
      <c r="D2" s="55">
        <v>2.4569999999999999</v>
      </c>
      <c r="E2" s="55">
        <v>1.9430000000000001</v>
      </c>
      <c r="F2" s="57">
        <v>3</v>
      </c>
      <c r="G2" s="63">
        <v>0</v>
      </c>
      <c r="H2" s="63">
        <v>1</v>
      </c>
      <c r="I2" s="58">
        <v>1</v>
      </c>
      <c r="J2" s="55">
        <v>13.183999999999999</v>
      </c>
      <c r="K2" t="s">
        <v>99</v>
      </c>
    </row>
    <row r="3" spans="1:11" x14ac:dyDescent="0.3">
      <c r="A3" t="s">
        <v>11</v>
      </c>
      <c r="B3" s="55">
        <v>3.056</v>
      </c>
      <c r="C3" s="55">
        <v>0.63</v>
      </c>
      <c r="D3" s="55">
        <v>4.8390000000000004</v>
      </c>
      <c r="E3" s="55">
        <v>1.0640000000000001</v>
      </c>
      <c r="F3" s="57">
        <v>4</v>
      </c>
      <c r="G3" s="63">
        <v>0</v>
      </c>
      <c r="H3" s="63">
        <v>0</v>
      </c>
      <c r="I3" s="58">
        <v>0</v>
      </c>
      <c r="J3" s="55">
        <v>15.289</v>
      </c>
      <c r="K3" t="s">
        <v>98</v>
      </c>
    </row>
    <row r="4" spans="1:11" x14ac:dyDescent="0.3">
      <c r="A4" t="s">
        <v>12</v>
      </c>
      <c r="B4" s="55">
        <v>2.2349999999999999</v>
      </c>
      <c r="C4" s="55">
        <v>4.3710000000000004</v>
      </c>
      <c r="D4" s="55">
        <v>2.3380000000000001</v>
      </c>
      <c r="E4" s="55">
        <v>2.4159999999999999</v>
      </c>
      <c r="F4" s="57">
        <v>1.0980000000000001</v>
      </c>
      <c r="G4" s="63">
        <v>0</v>
      </c>
      <c r="H4" s="63">
        <v>0</v>
      </c>
      <c r="I4" s="58">
        <v>0</v>
      </c>
      <c r="J4" s="55">
        <v>18.82</v>
      </c>
      <c r="K4" t="s">
        <v>100</v>
      </c>
    </row>
    <row r="5" spans="1:11" x14ac:dyDescent="0.3">
      <c r="A5" t="s">
        <v>13</v>
      </c>
      <c r="B5" s="55">
        <v>1.7909999999999999</v>
      </c>
      <c r="C5" s="55">
        <v>1.629</v>
      </c>
      <c r="D5" s="55">
        <v>2.6219999999999999</v>
      </c>
      <c r="E5" s="55">
        <v>1.01</v>
      </c>
      <c r="F5" s="57">
        <v>2.823</v>
      </c>
      <c r="G5" s="63">
        <v>0</v>
      </c>
      <c r="H5" s="63">
        <v>1</v>
      </c>
      <c r="I5" s="58">
        <v>0</v>
      </c>
      <c r="J5" s="55">
        <v>10.851000000000001</v>
      </c>
      <c r="K5" t="s">
        <v>99</v>
      </c>
    </row>
    <row r="6" spans="1:11" x14ac:dyDescent="0.3">
      <c r="A6" t="s">
        <v>14</v>
      </c>
      <c r="B6" s="55">
        <v>1.7050000000000001</v>
      </c>
      <c r="C6" s="55">
        <v>3.371</v>
      </c>
      <c r="D6" s="55">
        <v>2.9670000000000001</v>
      </c>
      <c r="E6" s="55">
        <v>2.0790000000000002</v>
      </c>
      <c r="F6" s="57">
        <v>5</v>
      </c>
      <c r="G6" s="63">
        <v>0</v>
      </c>
      <c r="H6" s="63">
        <v>1</v>
      </c>
      <c r="I6" s="58">
        <v>1</v>
      </c>
      <c r="J6" s="55">
        <v>16.122</v>
      </c>
      <c r="K6" t="s">
        <v>98</v>
      </c>
    </row>
    <row r="7" spans="1:11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7">
        <v>3.234</v>
      </c>
      <c r="G7" s="63">
        <v>1</v>
      </c>
      <c r="H7" s="63">
        <v>0</v>
      </c>
      <c r="I7" s="58">
        <v>0</v>
      </c>
      <c r="J7" s="55">
        <v>14.927</v>
      </c>
      <c r="K7" t="s">
        <v>100</v>
      </c>
    </row>
    <row r="8" spans="1:11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57">
        <v>4.7770000000000001</v>
      </c>
      <c r="G8" s="63">
        <v>0</v>
      </c>
      <c r="H8" s="63">
        <v>1</v>
      </c>
      <c r="I8" s="58">
        <v>0</v>
      </c>
      <c r="J8" s="55">
        <v>12.97</v>
      </c>
      <c r="K8" t="s">
        <v>99</v>
      </c>
    </row>
    <row r="9" spans="1:11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57">
        <v>3.234</v>
      </c>
      <c r="G9" s="63">
        <v>1</v>
      </c>
      <c r="H9" s="63">
        <v>0</v>
      </c>
      <c r="I9" s="58">
        <v>0</v>
      </c>
      <c r="J9" s="55">
        <v>14.163</v>
      </c>
      <c r="K9" t="s">
        <v>98</v>
      </c>
    </row>
    <row r="10" spans="1:11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57">
        <v>4.0999999999999996</v>
      </c>
      <c r="G10" s="63">
        <v>0</v>
      </c>
      <c r="H10" s="63">
        <v>0</v>
      </c>
      <c r="I10" s="58">
        <v>0</v>
      </c>
      <c r="J10" s="55">
        <v>10.255000000000001</v>
      </c>
      <c r="K10" t="s">
        <v>100</v>
      </c>
    </row>
    <row r="11" spans="1:11" x14ac:dyDescent="0.3">
      <c r="A11" t="s">
        <v>19</v>
      </c>
      <c r="B11" s="55">
        <v>3.556</v>
      </c>
      <c r="C11" s="55">
        <v>1.008</v>
      </c>
      <c r="D11" s="55">
        <v>2.6219999999999999</v>
      </c>
      <c r="E11" s="55">
        <v>4.6269999999999998</v>
      </c>
      <c r="F11" s="57">
        <v>3.21</v>
      </c>
      <c r="G11" s="63">
        <v>1</v>
      </c>
      <c r="H11" s="63">
        <v>1</v>
      </c>
      <c r="I11" s="58">
        <v>0</v>
      </c>
      <c r="J11" s="55">
        <v>14.522</v>
      </c>
      <c r="K11" t="s">
        <v>99</v>
      </c>
    </row>
    <row r="12" spans="1:11" x14ac:dyDescent="0.3">
      <c r="A12" t="s">
        <v>20</v>
      </c>
      <c r="B12" s="55">
        <v>4.056</v>
      </c>
      <c r="C12" s="55">
        <v>2.589</v>
      </c>
      <c r="D12" s="55">
        <v>2.3079999999999998</v>
      </c>
      <c r="E12" s="55">
        <v>1.861</v>
      </c>
      <c r="F12" s="57">
        <v>1.19</v>
      </c>
      <c r="G12" s="63">
        <v>1</v>
      </c>
      <c r="H12" s="63">
        <v>1</v>
      </c>
      <c r="I12" s="58">
        <v>1</v>
      </c>
      <c r="J12" s="55">
        <v>13.813000000000001</v>
      </c>
      <c r="K12" t="s">
        <v>98</v>
      </c>
    </row>
    <row r="13" spans="1:11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57">
        <v>1.234</v>
      </c>
      <c r="G13" s="63">
        <v>0</v>
      </c>
      <c r="H13" s="63">
        <v>1</v>
      </c>
      <c r="I13" s="58">
        <v>1</v>
      </c>
      <c r="J13" s="55">
        <v>11.195</v>
      </c>
      <c r="K13" t="s">
        <v>100</v>
      </c>
    </row>
    <row r="14" spans="1:11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57">
        <v>4.12</v>
      </c>
      <c r="G14" s="63">
        <v>0</v>
      </c>
      <c r="H14" s="63">
        <v>0</v>
      </c>
      <c r="I14" s="58">
        <v>1</v>
      </c>
      <c r="J14" s="55">
        <v>11.151</v>
      </c>
      <c r="K14" t="s">
        <v>99</v>
      </c>
    </row>
    <row r="15" spans="1:11" x14ac:dyDescent="0.3">
      <c r="A15" t="s">
        <v>23</v>
      </c>
      <c r="B15" s="55">
        <v>1.5780000000000001</v>
      </c>
      <c r="C15" s="55">
        <v>1.006</v>
      </c>
      <c r="D15" s="55">
        <v>4.9989999999999997</v>
      </c>
      <c r="E15" s="55">
        <v>1.3029999999999999</v>
      </c>
      <c r="F15" s="57">
        <v>2</v>
      </c>
      <c r="G15" s="63">
        <v>1</v>
      </c>
      <c r="H15" s="63">
        <v>0</v>
      </c>
      <c r="I15" s="58">
        <v>0</v>
      </c>
      <c r="J15" s="55">
        <v>12.885</v>
      </c>
      <c r="K15" t="s">
        <v>98</v>
      </c>
    </row>
    <row r="16" spans="1:11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7">
        <v>4.4000000000000004</v>
      </c>
      <c r="G16" s="63">
        <v>1</v>
      </c>
      <c r="H16" s="63">
        <v>0</v>
      </c>
      <c r="I16" s="58">
        <v>0</v>
      </c>
      <c r="J16" s="55">
        <v>13.406000000000001</v>
      </c>
      <c r="K16" t="s">
        <v>100</v>
      </c>
    </row>
    <row r="17" spans="1:11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7">
        <v>2</v>
      </c>
      <c r="G17" s="63">
        <v>0</v>
      </c>
      <c r="H17" s="63">
        <v>0</v>
      </c>
      <c r="I17" s="58">
        <v>1</v>
      </c>
      <c r="J17" s="55">
        <v>10.837999999999999</v>
      </c>
      <c r="K17" t="s">
        <v>99</v>
      </c>
    </row>
    <row r="18" spans="1:11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7">
        <v>2.234</v>
      </c>
      <c r="G18" s="63">
        <v>1</v>
      </c>
      <c r="H18" s="63">
        <v>0</v>
      </c>
      <c r="I18" s="58">
        <v>1</v>
      </c>
      <c r="J18" s="55">
        <v>13.193</v>
      </c>
      <c r="K18" t="s">
        <v>98</v>
      </c>
    </row>
    <row r="19" spans="1:11" x14ac:dyDescent="0.3">
      <c r="A19" t="s">
        <v>27</v>
      </c>
      <c r="B19" s="55">
        <v>3.9540000000000002</v>
      </c>
      <c r="C19" s="55">
        <v>2.3E-2</v>
      </c>
      <c r="D19" s="55">
        <v>4.9640000000000004</v>
      </c>
      <c r="E19" s="55">
        <v>3.8740000000000001</v>
      </c>
      <c r="F19" s="57">
        <v>0.23400000000000001</v>
      </c>
      <c r="G19" s="63">
        <v>1</v>
      </c>
      <c r="H19" s="63">
        <v>0</v>
      </c>
      <c r="I19" s="58">
        <v>0</v>
      </c>
      <c r="J19" s="55">
        <v>19.715</v>
      </c>
      <c r="K19" t="s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workbookViewId="0">
      <selection activeCell="F1" activeCellId="1" sqref="E1:E1048576 F1:F1048576"/>
    </sheetView>
  </sheetViews>
  <sheetFormatPr defaultRowHeight="14.4" x14ac:dyDescent="0.3"/>
  <cols>
    <col min="4" max="4" width="8.88671875" style="61"/>
    <col min="5" max="6" width="8.88671875" style="56"/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59" t="s">
        <v>96</v>
      </c>
      <c r="E1" s="64" t="s">
        <v>4</v>
      </c>
      <c r="F1" s="64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0.18141826864259999</v>
      </c>
      <c r="C2" s="53">
        <v>5.4450791916772837E-2</v>
      </c>
      <c r="D2" s="60">
        <v>0.61191053879833257</v>
      </c>
      <c r="E2" s="65">
        <v>0.106720019477238</v>
      </c>
      <c r="F2" s="65">
        <v>0.152651963522863</v>
      </c>
      <c r="G2" s="54">
        <v>0.1037612453176729</v>
      </c>
      <c r="H2" s="1" t="s">
        <v>47</v>
      </c>
    </row>
    <row r="3" spans="1:8" x14ac:dyDescent="0.3">
      <c r="A3" s="43">
        <v>2</v>
      </c>
      <c r="B3" s="53">
        <v>0.29731528292090348</v>
      </c>
      <c r="C3" s="53">
        <v>9.1150810219638279E-2</v>
      </c>
      <c r="D3" s="60">
        <v>0.61026173707464948</v>
      </c>
      <c r="E3" s="65">
        <v>0.18945464506061421</v>
      </c>
      <c r="F3" s="65">
        <v>0.10155365833498819</v>
      </c>
      <c r="G3" s="54">
        <v>0.29588315318380942</v>
      </c>
      <c r="H3" s="1" t="s">
        <v>34</v>
      </c>
    </row>
    <row r="4" spans="1:8" x14ac:dyDescent="0.3">
      <c r="A4" s="43">
        <v>3</v>
      </c>
      <c r="B4" s="53">
        <v>5.133819847534786E-2</v>
      </c>
      <c r="C4" s="53">
        <v>0.25457641457483893</v>
      </c>
      <c r="D4" s="60">
        <v>0.60726173707464903</v>
      </c>
      <c r="E4" s="65">
        <v>0.24824483374410089</v>
      </c>
      <c r="F4" s="65">
        <v>0.2881274398577503</v>
      </c>
      <c r="G4" s="54">
        <v>0.26426915998857842</v>
      </c>
      <c r="H4" s="1" t="s">
        <v>42</v>
      </c>
    </row>
    <row r="5" spans="1:8" x14ac:dyDescent="0.3">
      <c r="A5" s="43">
        <v>4</v>
      </c>
      <c r="B5" s="53">
        <v>0.28227114589511132</v>
      </c>
      <c r="C5" s="53">
        <v>6.516607737331874E-2</v>
      </c>
      <c r="D5" s="60">
        <v>0.58371425606695315</v>
      </c>
      <c r="E5" s="65">
        <v>0.28577314002182541</v>
      </c>
      <c r="F5" s="65">
        <v>0.16710661185701839</v>
      </c>
      <c r="G5" s="54">
        <v>0.15996685766432919</v>
      </c>
      <c r="H5" s="1" t="s">
        <v>49</v>
      </c>
    </row>
    <row r="6" spans="1:8" x14ac:dyDescent="0.3">
      <c r="A6" s="43">
        <v>5</v>
      </c>
      <c r="B6" s="53">
        <v>0.1202053717041603</v>
      </c>
      <c r="C6" s="53">
        <v>0.16109848730107321</v>
      </c>
      <c r="D6" s="60">
        <v>0.54893726307541901</v>
      </c>
      <c r="E6" s="65">
        <v>0.17008933186008149</v>
      </c>
      <c r="F6" s="65">
        <v>0.27528967563063772</v>
      </c>
      <c r="G6" s="54">
        <v>0.16758907375405899</v>
      </c>
      <c r="H6" s="1" t="s">
        <v>37</v>
      </c>
    </row>
    <row r="7" spans="1:8" x14ac:dyDescent="0.3">
      <c r="A7" s="43">
        <v>6</v>
      </c>
      <c r="B7" s="53">
        <v>6.2008630366313218E-2</v>
      </c>
      <c r="C7" s="53">
        <v>0.26040571421757103</v>
      </c>
      <c r="D7" s="60">
        <v>0.53524476184674197</v>
      </c>
      <c r="E7" s="65">
        <v>0.1067200194772385</v>
      </c>
      <c r="F7" s="65">
        <v>0.10155365833498819</v>
      </c>
      <c r="G7" s="54">
        <v>0.2560017363633072</v>
      </c>
      <c r="H7" s="1" t="s">
        <v>30</v>
      </c>
    </row>
    <row r="8" spans="1:8" x14ac:dyDescent="0.3">
      <c r="A8" s="43">
        <v>7</v>
      </c>
      <c r="B8" s="53">
        <v>8.4653338407399248E-2</v>
      </c>
      <c r="C8" s="53">
        <v>0.12208818407051721</v>
      </c>
      <c r="D8" s="60">
        <v>0.50118862071605097</v>
      </c>
      <c r="E8" s="65">
        <v>0.32446059664501697</v>
      </c>
      <c r="F8" s="65">
        <v>0.10155365833498819</v>
      </c>
      <c r="G8" s="54">
        <v>0.13823591172591559</v>
      </c>
      <c r="H8" s="1" t="s">
        <v>46</v>
      </c>
    </row>
    <row r="9" spans="1:8" x14ac:dyDescent="0.3">
      <c r="A9" s="43">
        <v>8</v>
      </c>
      <c r="B9" s="53">
        <v>0.10536952724685961</v>
      </c>
      <c r="C9" s="53">
        <v>0.26693912830951111</v>
      </c>
      <c r="D9" s="60">
        <v>0.47418990241855702</v>
      </c>
      <c r="E9" s="65">
        <v>0.1067200194772385</v>
      </c>
      <c r="F9" s="65">
        <v>0.10155365833498819</v>
      </c>
      <c r="G9" s="54">
        <v>0.1037612453176729</v>
      </c>
      <c r="H9" s="1" t="s">
        <v>45</v>
      </c>
    </row>
    <row r="10" spans="1:8" x14ac:dyDescent="0.3">
      <c r="A10" s="43">
        <v>9</v>
      </c>
      <c r="B10" s="53">
        <v>6.4227033173094625E-2</v>
      </c>
      <c r="C10" s="53">
        <v>0.15483029452809721</v>
      </c>
      <c r="D10" s="60">
        <v>0.43507948585385298</v>
      </c>
      <c r="E10" s="65">
        <v>0.16962970966432209</v>
      </c>
      <c r="F10" s="65">
        <v>0.10155365833498819</v>
      </c>
      <c r="G10" s="54">
        <v>0.29345450745565288</v>
      </c>
      <c r="H10" s="1" t="s">
        <v>35</v>
      </c>
    </row>
    <row r="11" spans="1:8" x14ac:dyDescent="0.3">
      <c r="A11" s="43">
        <v>10</v>
      </c>
      <c r="B11" s="53">
        <v>6.067934013561796E-2</v>
      </c>
      <c r="C11" s="53">
        <v>6.6813196513184861E-2</v>
      </c>
      <c r="D11" s="60">
        <v>0.399950545031311</v>
      </c>
      <c r="E11" s="65">
        <v>0.12896323351417149</v>
      </c>
      <c r="F11" s="65">
        <v>0.12518162852531989</v>
      </c>
      <c r="G11" s="54">
        <v>0.21570645620864939</v>
      </c>
      <c r="H11" s="1" t="s">
        <v>32</v>
      </c>
    </row>
    <row r="12" spans="1:8" x14ac:dyDescent="0.3">
      <c r="A12" s="43">
        <v>11</v>
      </c>
      <c r="B12" s="53">
        <v>0.1216495133482835</v>
      </c>
      <c r="C12" s="53">
        <v>0.16985306196136299</v>
      </c>
      <c r="D12" s="60">
        <v>0.388563554257354</v>
      </c>
      <c r="E12" s="65">
        <v>0.24861374555913729</v>
      </c>
      <c r="F12" s="65">
        <v>0.25064404411660468</v>
      </c>
      <c r="G12" s="54">
        <v>0.16999576138077049</v>
      </c>
      <c r="H12" s="1" t="s">
        <v>38</v>
      </c>
    </row>
    <row r="13" spans="1:8" x14ac:dyDescent="0.3">
      <c r="A13" s="43">
        <v>12</v>
      </c>
      <c r="B13" s="53">
        <v>0.1039433720356735</v>
      </c>
      <c r="C13" s="53">
        <v>0.19024045650357649</v>
      </c>
      <c r="D13" s="60">
        <v>0.34034996285317798</v>
      </c>
      <c r="E13" s="65">
        <v>0.27804323994842262</v>
      </c>
      <c r="F13" s="65">
        <v>0.119152078029859</v>
      </c>
      <c r="G13" s="54">
        <v>0.1037612453176729</v>
      </c>
      <c r="H13" s="1" t="s">
        <v>36</v>
      </c>
    </row>
    <row r="14" spans="1:8" x14ac:dyDescent="0.3">
      <c r="A14" s="43">
        <v>13</v>
      </c>
      <c r="B14" s="53">
        <v>0.25691282528883602</v>
      </c>
      <c r="C14" s="53">
        <v>0.25457641457483893</v>
      </c>
      <c r="D14" s="60">
        <v>0.28126564060459602</v>
      </c>
      <c r="E14" s="65">
        <v>0.24206895072120549</v>
      </c>
      <c r="F14" s="65">
        <v>0.10155365833498819</v>
      </c>
      <c r="G14" s="54">
        <v>0.1037612453176729</v>
      </c>
      <c r="H14" s="1" t="s">
        <v>44</v>
      </c>
    </row>
    <row r="15" spans="1:8" x14ac:dyDescent="0.3">
      <c r="A15" s="43">
        <v>14</v>
      </c>
      <c r="B15" s="53">
        <v>0.1262867946106227</v>
      </c>
      <c r="C15" s="53">
        <v>7.3418276193979989E-2</v>
      </c>
      <c r="D15" s="60">
        <v>0.24790607253205099</v>
      </c>
      <c r="E15" s="65">
        <v>0.29100442200694832</v>
      </c>
      <c r="F15" s="65">
        <v>0.108246470664996</v>
      </c>
      <c r="G15" s="54">
        <v>0.1139929232648282</v>
      </c>
      <c r="H15" s="1" t="s">
        <v>31</v>
      </c>
    </row>
    <row r="16" spans="1:8" x14ac:dyDescent="0.3">
      <c r="A16" s="43">
        <v>15</v>
      </c>
      <c r="B16" s="53">
        <v>0.19188915259436859</v>
      </c>
      <c r="C16" s="53">
        <v>9.6546504644227593E-2</v>
      </c>
      <c r="D16" s="60">
        <v>0.21705211340986499</v>
      </c>
      <c r="E16" s="65">
        <v>0.1067200194772385</v>
      </c>
      <c r="F16" s="65">
        <v>0.10155365833498819</v>
      </c>
      <c r="G16" s="54">
        <v>0.27864380253183429</v>
      </c>
      <c r="H16" s="1" t="s">
        <v>33</v>
      </c>
    </row>
    <row r="17" spans="1:8" x14ac:dyDescent="0.3">
      <c r="A17" s="43">
        <v>16</v>
      </c>
      <c r="B17" s="53">
        <v>0.156765667715111</v>
      </c>
      <c r="C17" s="53">
        <v>0.243834865733492</v>
      </c>
      <c r="D17" s="60">
        <v>0.19145012390986499</v>
      </c>
      <c r="E17" s="65">
        <v>0.183331251224816</v>
      </c>
      <c r="F17" s="65">
        <v>0.20155365833498801</v>
      </c>
      <c r="G17" s="54">
        <v>0.10840881707564209</v>
      </c>
      <c r="H17" s="1" t="s">
        <v>39</v>
      </c>
    </row>
    <row r="18" spans="1:8" x14ac:dyDescent="0.3">
      <c r="A18" s="43">
        <v>17</v>
      </c>
      <c r="B18" s="53">
        <v>6.067934013561796E-2</v>
      </c>
      <c r="C18" s="53">
        <v>0.10691631099167261</v>
      </c>
      <c r="D18" s="60">
        <v>0.17137146890986499</v>
      </c>
      <c r="E18" s="65">
        <v>0.29128321359242249</v>
      </c>
      <c r="F18" s="65">
        <v>0.23155365833498801</v>
      </c>
      <c r="G18" s="54">
        <v>0.1096077760804178</v>
      </c>
      <c r="H18" s="1" t="s">
        <v>40</v>
      </c>
    </row>
    <row r="19" spans="1:8" x14ac:dyDescent="0.3">
      <c r="A19" s="43">
        <v>18</v>
      </c>
      <c r="B19" s="53">
        <v>0.19511378053770029</v>
      </c>
      <c r="C19" s="53">
        <v>7.3418276193979989E-2</v>
      </c>
      <c r="D19" s="60">
        <v>0.13737146890986501</v>
      </c>
      <c r="E19" s="65">
        <v>0.31938813314298031</v>
      </c>
      <c r="F19" s="65">
        <v>0.10155365833498819</v>
      </c>
      <c r="G19" s="54">
        <v>0.100629661763317</v>
      </c>
      <c r="H19" s="1" t="s">
        <v>41</v>
      </c>
    </row>
    <row r="20" spans="1:8" x14ac:dyDescent="0.3">
      <c r="A20" s="43">
        <v>19</v>
      </c>
      <c r="B20" s="53">
        <v>0.28227114589511132</v>
      </c>
      <c r="C20" s="53">
        <v>0.27341827619398001</v>
      </c>
      <c r="D20" s="60">
        <v>0.117371468909865</v>
      </c>
      <c r="E20" s="65">
        <v>0.102500150077396</v>
      </c>
      <c r="F20" s="65">
        <v>0.1127673895923734</v>
      </c>
      <c r="G20" s="54">
        <v>0.1020081514064624</v>
      </c>
      <c r="H20" s="1" t="s">
        <v>43</v>
      </c>
    </row>
    <row r="21" spans="1:8" x14ac:dyDescent="0.3">
      <c r="A21" s="43">
        <v>20</v>
      </c>
      <c r="B21" s="53">
        <v>0.19849199345865401</v>
      </c>
      <c r="C21" s="53">
        <v>0.2048960971299689</v>
      </c>
      <c r="D21" s="60">
        <v>9.7371468909865005E-2</v>
      </c>
      <c r="E21" s="65">
        <v>0.15672001947723799</v>
      </c>
      <c r="F21" s="65">
        <v>0.10155365833498819</v>
      </c>
      <c r="G21" s="54">
        <v>0.27114700608346642</v>
      </c>
      <c r="H21" s="1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76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76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78</v>
      </c>
      <c r="E46" s="41" t="s">
        <v>79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80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81</v>
      </c>
    </row>
    <row r="51" spans="2:3" x14ac:dyDescent="0.3">
      <c r="C51">
        <f>C49*(SUM(E25:E34))</f>
        <v>3</v>
      </c>
    </row>
    <row r="54" spans="2:3" x14ac:dyDescent="0.3">
      <c r="B54" s="41" t="s">
        <v>82</v>
      </c>
    </row>
    <row r="55" spans="2:3" x14ac:dyDescent="0.3">
      <c r="B55" s="41" t="s">
        <v>83</v>
      </c>
      <c r="C55">
        <f>C49</f>
        <v>1</v>
      </c>
    </row>
    <row r="56" spans="2:3" x14ac:dyDescent="0.3">
      <c r="B56" s="41" t="s">
        <v>84</v>
      </c>
      <c r="C56">
        <v>6</v>
      </c>
    </row>
    <row r="57" spans="2:3" x14ac:dyDescent="0.3">
      <c r="B57" s="41" t="s">
        <v>85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  <c r="Y12" s="51" t="s">
        <v>86</v>
      </c>
      <c r="Z12" s="51" t="s">
        <v>87</v>
      </c>
    </row>
    <row r="13" spans="2:26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6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66" t="s">
        <v>54</v>
      </c>
      <c r="C12" s="70" t="s">
        <v>1</v>
      </c>
      <c r="D12" s="68" t="s">
        <v>2</v>
      </c>
      <c r="E12" s="68" t="s">
        <v>3</v>
      </c>
      <c r="F12" s="68" t="s">
        <v>4</v>
      </c>
      <c r="G12" s="72" t="s">
        <v>5</v>
      </c>
      <c r="J12" s="19" t="s">
        <v>55</v>
      </c>
      <c r="K12" s="21" t="s">
        <v>56</v>
      </c>
      <c r="L12" s="20" t="s">
        <v>57</v>
      </c>
    </row>
    <row r="13" spans="2:18" ht="34.950000000000003" customHeight="1" x14ac:dyDescent="0.3">
      <c r="B13" s="67"/>
      <c r="C13" s="71"/>
      <c r="D13" s="69"/>
      <c r="E13" s="69"/>
      <c r="F13" s="69"/>
      <c r="G13" s="73"/>
      <c r="J13" s="19" t="s">
        <v>58</v>
      </c>
      <c r="K13" s="22" t="s">
        <v>59</v>
      </c>
      <c r="L13" s="17" t="s">
        <v>60</v>
      </c>
    </row>
    <row r="14" spans="2:18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18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31" spans="1:18" x14ac:dyDescent="0.3">
      <c r="B31" s="77" t="s">
        <v>0</v>
      </c>
      <c r="C31" s="78" t="s">
        <v>88</v>
      </c>
      <c r="D31" s="79"/>
      <c r="E31" s="79"/>
      <c r="F31" s="79"/>
    </row>
    <row r="32" spans="1:18" x14ac:dyDescent="0.3">
      <c r="B32" s="67"/>
      <c r="C32" s="80"/>
      <c r="D32" s="79"/>
      <c r="E32" s="79"/>
      <c r="F32" s="79"/>
    </row>
    <row r="33" spans="2:6" x14ac:dyDescent="0.3">
      <c r="B33" s="7" t="s">
        <v>16</v>
      </c>
      <c r="C33" s="74" t="s">
        <v>89</v>
      </c>
      <c r="D33" s="75"/>
      <c r="E33" s="75"/>
      <c r="F33" s="76"/>
    </row>
    <row r="34" spans="2:6" x14ac:dyDescent="0.3">
      <c r="B34" s="7" t="s">
        <v>13</v>
      </c>
      <c r="C34" s="74" t="s">
        <v>90</v>
      </c>
      <c r="D34" s="75"/>
      <c r="E34" s="75"/>
      <c r="F34" s="76"/>
    </row>
    <row r="35" spans="2:6" x14ac:dyDescent="0.3">
      <c r="B35" s="12" t="s">
        <v>10</v>
      </c>
      <c r="C35" s="74" t="s">
        <v>91</v>
      </c>
      <c r="D35" s="75"/>
      <c r="E35" s="75"/>
      <c r="F35" s="76"/>
    </row>
    <row r="36" spans="2:6" x14ac:dyDescent="0.3">
      <c r="B36" s="12" t="s">
        <v>12</v>
      </c>
      <c r="C36" s="74" t="s">
        <v>92</v>
      </c>
      <c r="D36" s="75"/>
      <c r="E36" s="75"/>
      <c r="F36" s="76"/>
    </row>
    <row r="37" spans="2:6" x14ac:dyDescent="0.3">
      <c r="B37" s="13" t="s">
        <v>93</v>
      </c>
      <c r="C37" s="74" t="s">
        <v>94</v>
      </c>
      <c r="D37" s="75"/>
      <c r="E37" s="75"/>
      <c r="F37" s="76"/>
    </row>
    <row r="38" spans="2:6" x14ac:dyDescent="0.3">
      <c r="B38" s="12" t="s">
        <v>15</v>
      </c>
      <c r="C38" s="74" t="s">
        <v>95</v>
      </c>
      <c r="D38" s="75"/>
      <c r="E38" s="75"/>
      <c r="F38" s="76"/>
    </row>
  </sheetData>
  <mergeCells count="14">
    <mergeCell ref="G12:G13"/>
    <mergeCell ref="C38:F38"/>
    <mergeCell ref="C33:F33"/>
    <mergeCell ref="D12:D13"/>
    <mergeCell ref="C31:F32"/>
    <mergeCell ref="C37:F37"/>
    <mergeCell ref="C36:F36"/>
    <mergeCell ref="C35:F35"/>
    <mergeCell ref="B12:B13"/>
    <mergeCell ref="E12:E13"/>
    <mergeCell ref="C34:F34"/>
    <mergeCell ref="C12:C13"/>
    <mergeCell ref="F12:F13"/>
    <mergeCell ref="B31:B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2026-04-12T12:49:29Z</dcterms:modified>
</cp:coreProperties>
</file>