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zh.sharepoint.com/sites/SustainableOM/Shared Documents/General/2026/Lectures/Lecture 9 - Sustainable Sourcing (Apr 27)/"/>
    </mc:Choice>
  </mc:AlternateContent>
  <xr:revisionPtr revIDLastSave="1033" documentId="11_E7E4596526999F45120FC3DF6BC9693B0DA2A2FF" xr6:coauthVersionLast="47" xr6:coauthVersionMax="47" xr10:uidLastSave="{239F1734-E7AE-43CF-B8BE-A75D8A7F43C1}"/>
  <bookViews>
    <workbookView xWindow="-108" yWindow="-108" windowWidth="30936" windowHeight="16776" xr2:uid="{00000000-000D-0000-FFFF-FFFF00000000}"/>
  </bookViews>
  <sheets>
    <sheet name="Arya Case (Solution)" sheetId="7" r:id="rId1"/>
    <sheet name="Arya Case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7" l="1"/>
  <c r="G14" i="7" a="1"/>
  <c r="G14" i="7" s="1"/>
  <c r="F14" i="7" a="1"/>
  <c r="F14" i="7" s="1"/>
  <c r="E14" i="7" a="1"/>
  <c r="E14" i="7" s="1"/>
  <c r="D14" i="7" a="1"/>
  <c r="D14" i="7" s="1"/>
  <c r="C14" i="7" a="1"/>
  <c r="C14" i="7" s="1"/>
  <c r="M10" i="7"/>
  <c r="L10" i="7"/>
  <c r="K10" i="7"/>
  <c r="M9" i="7"/>
  <c r="L9" i="7"/>
  <c r="K9" i="7"/>
  <c r="M8" i="7"/>
  <c r="L8" i="7"/>
  <c r="K8" i="7"/>
  <c r="M7" i="7"/>
  <c r="L7" i="7"/>
  <c r="K7" i="7"/>
  <c r="M6" i="7"/>
  <c r="L6" i="7"/>
  <c r="K6" i="7"/>
  <c r="M5" i="7"/>
  <c r="L5" i="7"/>
  <c r="J14" i="7" s="1" a="1"/>
  <c r="J14" i="7" s="1"/>
  <c r="K5" i="7"/>
  <c r="L4" i="7"/>
  <c r="K4" i="7"/>
  <c r="C14" i="4" a="1"/>
  <c r="C14" i="4" s="1"/>
  <c r="G14" i="4" a="1"/>
  <c r="G14" i="4" s="1"/>
  <c r="F14" i="4" a="1"/>
  <c r="F14" i="4" s="1"/>
  <c r="E14" i="4" a="1"/>
  <c r="E14" i="4" s="1"/>
  <c r="D14" i="4" a="1"/>
  <c r="D14" i="4" s="1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K14" i="7" l="1" a="1"/>
  <c r="K14" i="7" s="1"/>
  <c r="J14" i="4" a="1"/>
  <c r="J14" i="4" s="1"/>
  <c r="K14" i="4" a="1"/>
  <c r="K1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<sst xmlns="http://schemas.openxmlformats.org/spreadsheetml/2006/main" count="137" uniqueCount="52">
  <si>
    <t>Q1. Equal Weights</t>
  </si>
  <si>
    <t>Q2. Different Weights</t>
  </si>
  <si>
    <t>Supplier</t>
  </si>
  <si>
    <t>Environmental Risk</t>
  </si>
  <si>
    <t>Social Risk</t>
  </si>
  <si>
    <t>Cost Score</t>
  </si>
  <si>
    <t>Strategic Importance</t>
  </si>
  <si>
    <t>Improvement Potential</t>
  </si>
  <si>
    <t>Child Labor</t>
  </si>
  <si>
    <t>Banned Chemicals</t>
  </si>
  <si>
    <t>Low Product Quality</t>
  </si>
  <si>
    <t>Total Score</t>
  </si>
  <si>
    <t>Q1. Min Cost&amp; Enve&amp;Social Risk</t>
  </si>
  <si>
    <t xml:space="preserve">Q2. Max Improvement </t>
  </si>
  <si>
    <t>A</t>
  </si>
  <si>
    <t>B</t>
  </si>
  <si>
    <t>C</t>
  </si>
  <si>
    <t>D</t>
  </si>
  <si>
    <t>E</t>
  </si>
  <si>
    <t>F</t>
  </si>
  <si>
    <t>G</t>
  </si>
  <si>
    <t>Rank</t>
  </si>
  <si>
    <t>Q1</t>
  </si>
  <si>
    <t>Q2</t>
  </si>
  <si>
    <t>Q3</t>
  </si>
  <si>
    <t>Min Cost + Enve&amp;Social Risk</t>
  </si>
  <si>
    <t>Min Cost + Max Improvement</t>
  </si>
  <si>
    <t>Min Cost/No Quality Issues</t>
  </si>
  <si>
    <t>Supplier 1</t>
  </si>
  <si>
    <t>Supplier 2</t>
  </si>
  <si>
    <t>quality issues</t>
  </si>
  <si>
    <t>Supplier 3</t>
  </si>
  <si>
    <t>Supplier 4</t>
  </si>
  <si>
    <t>Supplier 5</t>
  </si>
  <si>
    <t>Supplier 6</t>
  </si>
  <si>
    <t>Supplier 7</t>
  </si>
  <si>
    <t>Selected Ones</t>
  </si>
  <si>
    <t>C &amp; G</t>
  </si>
  <si>
    <t>C &amp; D</t>
  </si>
  <si>
    <t>A &amp; F</t>
  </si>
  <si>
    <t>without issues</t>
  </si>
  <si>
    <t>G &amp; D</t>
  </si>
  <si>
    <t>D &amp; G</t>
  </si>
  <si>
    <t>Notes</t>
  </si>
  <si>
    <t>Ideal supplier.</t>
  </si>
  <si>
    <r>
      <t xml:space="preserve">Good supplier with no compliance issues, but </t>
    </r>
    <r>
      <rPr>
        <b/>
        <sz val="11"/>
        <color theme="1"/>
        <rFont val="Calibri"/>
        <family val="2"/>
        <scheme val="minor"/>
      </rPr>
      <t>too costly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</si>
  <si>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rgb="FF000000"/>
        <rFont val="Calibri"/>
        <family val="2"/>
      </rPr>
      <t xml:space="preserve">Need to add requirements for </t>
    </r>
    <r>
      <rPr>
        <sz val="11"/>
        <color rgb="FFFF0000"/>
        <rFont val="Calibri"/>
        <family val="2"/>
      </rPr>
      <t>child labor.</t>
    </r>
  </si>
  <si>
    <r>
      <t xml:space="preserve">Need to add requirements for </t>
    </r>
    <r>
      <rPr>
        <sz val="11"/>
        <color rgb="FFFF0000"/>
        <rFont val="Calibri"/>
        <family val="2"/>
        <scheme val="minor"/>
      </rPr>
      <t>banned chemicals.</t>
    </r>
  </si>
  <si>
    <t>E/B</t>
  </si>
  <si>
    <r>
      <t xml:space="preserve">Can choose work on </t>
    </r>
    <r>
      <rPr>
        <sz val="11"/>
        <color theme="9" tint="-0.249977111117893"/>
        <rFont val="Calibri (Body)"/>
      </rPr>
      <t>quality problems</t>
    </r>
    <r>
      <rPr>
        <sz val="11"/>
        <color rgb="FFFFC000"/>
        <rFont val="Calibri (Body)"/>
      </rPr>
      <t xml:space="preserve"> </t>
    </r>
    <r>
      <rPr>
        <sz val="11"/>
        <color theme="1"/>
        <rFont val="Calibri"/>
        <family val="2"/>
        <scheme val="minor"/>
      </rPr>
      <t xml:space="preserve">instead of </t>
    </r>
    <r>
      <rPr>
        <sz val="11"/>
        <color rgb="FFFF0000"/>
        <rFont val="Calibri (Body)"/>
      </rPr>
      <t>A</t>
    </r>
    <r>
      <rPr>
        <sz val="11"/>
        <color theme="1"/>
        <rFont val="Calibri"/>
        <family val="2"/>
        <scheme val="minor"/>
      </rPr>
      <t xml:space="preserve"> or </t>
    </r>
    <r>
      <rPr>
        <sz val="11"/>
        <color rgb="FFFF0000"/>
        <rFont val="Calibri (Body)"/>
      </rPr>
      <t>C</t>
    </r>
    <r>
      <rPr>
        <sz val="11"/>
        <color theme="9"/>
        <rFont val="Calibri"/>
        <family val="2"/>
        <scheme val="minor"/>
      </rPr>
      <t>.</t>
    </r>
  </si>
  <si>
    <r>
      <t xml:space="preserve">High risk and suspected both </t>
    </r>
    <r>
      <rPr>
        <sz val="11"/>
        <color rgb="FFFF0000"/>
        <rFont val="Calibri"/>
        <family val="2"/>
        <scheme val="minor"/>
      </rPr>
      <t>child labor and banned chemicals</t>
    </r>
    <r>
      <rPr>
        <sz val="11"/>
        <color theme="1"/>
        <rFont val="Calibri"/>
        <family val="2"/>
        <scheme val="minor"/>
      </rPr>
      <t>.</t>
    </r>
  </si>
  <si>
    <r>
      <t xml:space="preserve">Need to add requirements for </t>
    </r>
    <r>
      <rPr>
        <sz val="11"/>
        <color rgb="FFFF0000"/>
        <rFont val="Calibri"/>
        <family val="2"/>
        <scheme val="minor"/>
      </rPr>
      <t>child labor.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</si>
</sst>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trike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C000"/>
      <name val="Calibri (Body)"/>
    </font>
    <font>
      <sz val="11"/>
      <color rgb="FFFF0000"/>
      <name val="Calibri (Body)"/>
    </font>
    <font>
      <sz val="11"/>
      <color theme="9" tint="-0.249977111117893"/>
      <name val="Calibri (Body)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10" borderId="4" xfId="0" applyFont="1" applyFill="1" applyBorder="1"/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8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" fillId="0" borderId="4" xfId="0" applyFont="1" applyBorder="1"/>
    <xf numFmtId="0" fontId="2" fillId="0" borderId="1" xfId="0" applyFont="1" applyBorder="1"/>
    <xf numFmtId="2" fontId="0" fillId="0" borderId="1" xfId="0" applyNumberFormat="1" applyBorder="1"/>
    <xf numFmtId="0" fontId="4" fillId="0" borderId="4" xfId="0" applyFont="1" applyBorder="1"/>
    <xf numFmtId="0" fontId="7" fillId="0" borderId="0" xfId="0" applyFont="1"/>
    <xf numFmtId="0" fontId="7" fillId="0" borderId="1" xfId="0" applyFont="1" applyBorder="1"/>
    <xf numFmtId="0" fontId="7" fillId="0" borderId="4" xfId="0" applyFont="1" applyBorder="1"/>
    <xf numFmtId="0" fontId="4" fillId="11" borderId="1" xfId="0" applyFont="1" applyFill="1" applyBorder="1"/>
    <xf numFmtId="0" fontId="8" fillId="13" borderId="1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9" fillId="12" borderId="1" xfId="0" applyFont="1" applyFill="1" applyBorder="1"/>
    <xf numFmtId="0" fontId="5" fillId="2" borderId="0" xfId="0" applyFont="1" applyFill="1" applyAlignment="1">
      <alignment horizontal="center"/>
    </xf>
    <xf numFmtId="0" fontId="0" fillId="10" borderId="4" xfId="0" applyFill="1" applyBorder="1"/>
    <xf numFmtId="0" fontId="2" fillId="6" borderId="1" xfId="0" applyFont="1" applyFill="1" applyBorder="1"/>
    <xf numFmtId="0" fontId="2" fillId="11" borderId="1" xfId="0" applyFont="1" applyFill="1" applyBorder="1"/>
    <xf numFmtId="0" fontId="13" fillId="2" borderId="0" xfId="0" applyFont="1" applyFill="1" applyAlignment="1">
      <alignment horizontal="center"/>
    </xf>
    <xf numFmtId="0" fontId="0" fillId="12" borderId="1" xfId="0" applyFill="1" applyBorder="1"/>
    <xf numFmtId="0" fontId="5" fillId="2" borderId="10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FB7B-F740-D647-AAB6-CBE8933C7908}">
  <dimension ref="A1:R31"/>
  <sheetViews>
    <sheetView showGridLines="0" tabSelected="1" zoomScale="115" zoomScaleNormal="115" workbookViewId="0">
      <selection activeCell="M5" sqref="M5"/>
    </sheetView>
  </sheetViews>
  <sheetFormatPr defaultColWidth="8.6640625" defaultRowHeight="14.4"/>
  <cols>
    <col min="1" max="1" width="8.6640625" customWidth="1"/>
    <col min="2" max="2" width="19" style="3" bestFit="1" customWidth="1"/>
    <col min="3" max="14" width="13.6640625" customWidth="1"/>
    <col min="15" max="15" width="12.109375" bestFit="1" customWidth="1"/>
    <col min="16" max="16" width="13.109375" customWidth="1"/>
  </cols>
  <sheetData>
    <row r="1" spans="2:18">
      <c r="B1" s="35" t="s">
        <v>0</v>
      </c>
      <c r="C1" s="34">
        <v>1</v>
      </c>
      <c r="D1" s="34">
        <v>1</v>
      </c>
      <c r="E1" s="34">
        <v>1</v>
      </c>
      <c r="F1" s="34">
        <v>1</v>
      </c>
      <c r="G1" s="34">
        <v>1</v>
      </c>
    </row>
    <row r="2" spans="2:18">
      <c r="B2" s="35" t="s">
        <v>1</v>
      </c>
      <c r="C2" s="34">
        <v>1</v>
      </c>
      <c r="D2" s="34">
        <v>1</v>
      </c>
      <c r="E2" s="34">
        <v>1</v>
      </c>
      <c r="F2" s="34">
        <v>2</v>
      </c>
      <c r="G2" s="34">
        <v>2</v>
      </c>
    </row>
    <row r="3" spans="2:18" ht="41.4">
      <c r="B3" s="4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6" t="s">
        <v>8</v>
      </c>
      <c r="I3" s="16" t="s">
        <v>9</v>
      </c>
      <c r="J3" s="17" t="s">
        <v>10</v>
      </c>
      <c r="K3" s="33" t="s">
        <v>11</v>
      </c>
      <c r="L3" s="14" t="s">
        <v>12</v>
      </c>
      <c r="M3" s="18" t="s">
        <v>13</v>
      </c>
    </row>
    <row r="4" spans="2:18">
      <c r="B4" s="10" t="s">
        <v>14</v>
      </c>
      <c r="C4" s="2">
        <v>2</v>
      </c>
      <c r="D4" s="2">
        <v>4</v>
      </c>
      <c r="E4" s="2">
        <v>1</v>
      </c>
      <c r="F4" s="2">
        <v>3</v>
      </c>
      <c r="G4" s="2">
        <v>4</v>
      </c>
      <c r="H4" s="6">
        <v>1</v>
      </c>
      <c r="I4" s="6">
        <v>0</v>
      </c>
      <c r="J4" s="6">
        <v>0</v>
      </c>
      <c r="K4" s="1">
        <f>SUM(C4:G4)</f>
        <v>14</v>
      </c>
      <c r="L4" s="26">
        <f>SUMPRODUCT($C$1:$E$1,C4:E4)/SUM($C$1:$E$1)</f>
        <v>2.3333333333333335</v>
      </c>
      <c r="M4" s="26">
        <f>SUMPRODUCT(C4:G4,$C$2:$G$2)/SUM($C$2:$G$2)</f>
        <v>3</v>
      </c>
    </row>
    <row r="5" spans="2:18">
      <c r="B5" s="10" t="s">
        <v>15</v>
      </c>
      <c r="C5" s="2">
        <v>3</v>
      </c>
      <c r="D5" s="2">
        <v>5</v>
      </c>
      <c r="E5" s="2">
        <v>2</v>
      </c>
      <c r="F5" s="2">
        <v>3</v>
      </c>
      <c r="G5" s="2">
        <v>3</v>
      </c>
      <c r="H5" s="6">
        <v>0</v>
      </c>
      <c r="I5" s="6">
        <v>0</v>
      </c>
      <c r="J5" s="6">
        <v>1</v>
      </c>
      <c r="K5" s="1">
        <f t="shared" ref="K5:K10" si="0">SUM(C5:G5)</f>
        <v>16</v>
      </c>
      <c r="L5" s="26">
        <f t="shared" ref="L5:L10" si="1">SUMPRODUCT($C$1:$E$1,C5:E5)/SUM($C$1:$E$1)</f>
        <v>3.3333333333333335</v>
      </c>
      <c r="M5" s="26">
        <f t="shared" ref="M5:M10" si="2">SUMPRODUCT(C5:G5,$C$2:$G$2)/SUM($C$2:$G$2)</f>
        <v>3.1428571428571428</v>
      </c>
    </row>
    <row r="6" spans="2:18">
      <c r="B6" s="10" t="s">
        <v>16</v>
      </c>
      <c r="C6" s="2">
        <v>2</v>
      </c>
      <c r="D6" s="2">
        <v>1</v>
      </c>
      <c r="E6" s="2">
        <v>3</v>
      </c>
      <c r="F6" s="2">
        <v>2</v>
      </c>
      <c r="G6" s="2">
        <v>3</v>
      </c>
      <c r="H6" s="6">
        <v>0</v>
      </c>
      <c r="I6" s="6">
        <v>1</v>
      </c>
      <c r="J6" s="6">
        <v>0</v>
      </c>
      <c r="K6" s="1">
        <f t="shared" si="0"/>
        <v>11</v>
      </c>
      <c r="L6" s="26">
        <f t="shared" si="1"/>
        <v>2</v>
      </c>
      <c r="M6" s="26">
        <f t="shared" si="2"/>
        <v>2.2857142857142856</v>
      </c>
    </row>
    <row r="7" spans="2:18">
      <c r="B7" s="10" t="s">
        <v>17</v>
      </c>
      <c r="C7" s="2">
        <v>2</v>
      </c>
      <c r="D7" s="2">
        <v>2</v>
      </c>
      <c r="E7" s="2">
        <v>5</v>
      </c>
      <c r="F7" s="2">
        <v>2</v>
      </c>
      <c r="G7" s="2">
        <v>2</v>
      </c>
      <c r="H7" s="6">
        <v>0</v>
      </c>
      <c r="I7" s="6">
        <v>0</v>
      </c>
      <c r="J7" s="6">
        <v>0</v>
      </c>
      <c r="K7" s="1">
        <f t="shared" si="0"/>
        <v>13</v>
      </c>
      <c r="L7" s="26">
        <f t="shared" si="1"/>
        <v>3</v>
      </c>
      <c r="M7" s="26">
        <f t="shared" si="2"/>
        <v>2.4285714285714284</v>
      </c>
    </row>
    <row r="8" spans="2:18">
      <c r="B8" s="10" t="s">
        <v>18</v>
      </c>
      <c r="C8" s="2">
        <v>3</v>
      </c>
      <c r="D8" s="2">
        <v>4</v>
      </c>
      <c r="E8" s="2">
        <v>3</v>
      </c>
      <c r="F8" s="2">
        <v>2</v>
      </c>
      <c r="G8" s="2">
        <v>5</v>
      </c>
      <c r="H8" s="6">
        <v>0</v>
      </c>
      <c r="I8" s="6">
        <v>0</v>
      </c>
      <c r="J8" s="6">
        <v>1</v>
      </c>
      <c r="K8" s="1">
        <f t="shared" si="0"/>
        <v>17</v>
      </c>
      <c r="L8" s="26">
        <f t="shared" si="1"/>
        <v>3.3333333333333335</v>
      </c>
      <c r="M8" s="26">
        <f t="shared" si="2"/>
        <v>3.4285714285714284</v>
      </c>
    </row>
    <row r="9" spans="2:18">
      <c r="B9" s="10" t="s">
        <v>19</v>
      </c>
      <c r="C9" s="2">
        <v>5</v>
      </c>
      <c r="D9" s="2">
        <v>4</v>
      </c>
      <c r="E9" s="2">
        <v>2</v>
      </c>
      <c r="F9" s="2">
        <v>4</v>
      </c>
      <c r="G9" s="2">
        <v>4</v>
      </c>
      <c r="H9" s="6">
        <v>1</v>
      </c>
      <c r="I9" s="6">
        <v>1</v>
      </c>
      <c r="J9" s="6">
        <v>0</v>
      </c>
      <c r="K9" s="1">
        <f t="shared" si="0"/>
        <v>19</v>
      </c>
      <c r="L9" s="26">
        <f t="shared" si="1"/>
        <v>3.6666666666666665</v>
      </c>
      <c r="M9" s="26">
        <f t="shared" si="2"/>
        <v>3.8571428571428572</v>
      </c>
    </row>
    <row r="10" spans="2:18">
      <c r="B10" s="10" t="s">
        <v>20</v>
      </c>
      <c r="C10" s="2">
        <v>2</v>
      </c>
      <c r="D10" s="2">
        <v>1</v>
      </c>
      <c r="E10" s="2">
        <v>3</v>
      </c>
      <c r="F10" s="2">
        <v>3</v>
      </c>
      <c r="G10" s="2">
        <v>3</v>
      </c>
      <c r="H10" s="6">
        <v>0</v>
      </c>
      <c r="I10" s="6">
        <v>0</v>
      </c>
      <c r="J10" s="6">
        <v>0</v>
      </c>
      <c r="K10" s="1">
        <f t="shared" si="0"/>
        <v>12</v>
      </c>
      <c r="L10" s="26">
        <f t="shared" si="1"/>
        <v>2</v>
      </c>
      <c r="M10" s="26">
        <f t="shared" si="2"/>
        <v>2.5714285714285716</v>
      </c>
    </row>
    <row r="12" spans="2:18">
      <c r="B12" s="43" t="s">
        <v>21</v>
      </c>
      <c r="C12" s="44" t="s">
        <v>3</v>
      </c>
      <c r="D12" s="46" t="s">
        <v>4</v>
      </c>
      <c r="E12" s="46" t="s">
        <v>5</v>
      </c>
      <c r="F12" s="46" t="s">
        <v>6</v>
      </c>
      <c r="G12" s="41" t="s">
        <v>7</v>
      </c>
      <c r="J12" s="19" t="s">
        <v>22</v>
      </c>
      <c r="K12" s="21" t="s">
        <v>23</v>
      </c>
      <c r="L12" s="20" t="s">
        <v>24</v>
      </c>
    </row>
    <row r="13" spans="2:18" ht="34.950000000000003" customHeight="1">
      <c r="B13" s="43"/>
      <c r="C13" s="45"/>
      <c r="D13" s="47"/>
      <c r="E13" s="47"/>
      <c r="F13" s="47"/>
      <c r="G13" s="42"/>
      <c r="J13" s="19" t="s">
        <v>25</v>
      </c>
      <c r="K13" s="22" t="s">
        <v>26</v>
      </c>
      <c r="L13" s="17" t="s">
        <v>27</v>
      </c>
    </row>
    <row r="14" spans="2:18">
      <c r="B14" s="9" t="s">
        <v>28</v>
      </c>
      <c r="C14" s="2" t="str" cm="1">
        <f t="array" ref="C14:C20">_xlfn.SORTBY($B$4:$B$10, C4:C10, 1)</f>
        <v>A</v>
      </c>
      <c r="D14" s="2" t="str" cm="1">
        <f t="array" ref="D14:D20">_xlfn.SORTBY(B4:B10,D4:D10)</f>
        <v>C</v>
      </c>
      <c r="E14" s="2" t="str" cm="1">
        <f t="array" ref="E14:E20">_xlfn.SORTBY(B4:B10,E4:E10)</f>
        <v>A</v>
      </c>
      <c r="F14" s="2" t="str" cm="1">
        <f t="array" ref="F14:F20">_xlfn.SORTBY(B4:B10,F4:F10)</f>
        <v>C</v>
      </c>
      <c r="G14" s="2" t="str" cm="1">
        <f t="array" ref="G14:G20">_xlfn.SORTBY(B4:B10,G4:G10)</f>
        <v>D</v>
      </c>
      <c r="J14" s="11" t="str" cm="1">
        <f t="array" ref="J14:J20">_xlfn.SORTBY(B4:B10,L4:L10)</f>
        <v>C</v>
      </c>
      <c r="K14" s="38" t="str" cm="1">
        <f t="array" ref="K14:K20">_xlfn.SORTBY(B4:B10,M4:M10)</f>
        <v>C</v>
      </c>
      <c r="L14" s="37" t="s">
        <v>14</v>
      </c>
      <c r="Q14" s="8"/>
      <c r="R14" s="8"/>
    </row>
    <row r="15" spans="2:18">
      <c r="B15" s="9" t="s">
        <v>29</v>
      </c>
      <c r="C15" s="2" t="str">
        <v>C</v>
      </c>
      <c r="D15" s="2" t="str">
        <v>G</v>
      </c>
      <c r="E15" s="2" t="str">
        <v>B</v>
      </c>
      <c r="F15" s="2" t="str">
        <v>D</v>
      </c>
      <c r="G15" s="2" t="str">
        <v>B</v>
      </c>
      <c r="J15" s="36" t="str">
        <v>G</v>
      </c>
      <c r="K15" s="31" t="str">
        <v>D</v>
      </c>
      <c r="L15" s="32" t="s">
        <v>15</v>
      </c>
      <c r="M15" s="28" t="s">
        <v>30</v>
      </c>
      <c r="Q15" s="8"/>
      <c r="R15" s="8"/>
    </row>
    <row r="16" spans="2:18">
      <c r="B16" s="9" t="s">
        <v>31</v>
      </c>
      <c r="C16" s="2" t="str">
        <v>D</v>
      </c>
      <c r="D16" s="2" t="str">
        <v>D</v>
      </c>
      <c r="E16" s="2" t="str">
        <v>F</v>
      </c>
      <c r="F16" s="2" t="str">
        <v>E</v>
      </c>
      <c r="G16" s="2" t="str">
        <v>C</v>
      </c>
      <c r="J16" s="24" t="str">
        <v>A</v>
      </c>
      <c r="K16" s="1" t="str">
        <v>G</v>
      </c>
      <c r="L16" s="37" t="s">
        <v>19</v>
      </c>
      <c r="Q16" s="8"/>
      <c r="R16" s="8"/>
    </row>
    <row r="17" spans="1:18">
      <c r="A17" s="5"/>
      <c r="B17" s="9" t="s">
        <v>32</v>
      </c>
      <c r="C17" s="2" t="str">
        <v>G</v>
      </c>
      <c r="D17" s="2" t="str">
        <v>A</v>
      </c>
      <c r="E17" s="2" t="str">
        <v>C</v>
      </c>
      <c r="F17" s="2" t="str">
        <v>A</v>
      </c>
      <c r="G17" s="2" t="str">
        <v>G</v>
      </c>
      <c r="J17" s="27" t="str">
        <v>D</v>
      </c>
      <c r="K17" s="25" t="str">
        <v>A</v>
      </c>
      <c r="L17" s="25" t="s">
        <v>16</v>
      </c>
      <c r="Q17" s="8"/>
      <c r="R17" s="8"/>
    </row>
    <row r="18" spans="1:18">
      <c r="A18" s="5"/>
      <c r="B18" s="9" t="s">
        <v>33</v>
      </c>
      <c r="C18" s="2" t="str">
        <v>B</v>
      </c>
      <c r="D18" s="2" t="str">
        <v>E</v>
      </c>
      <c r="E18" s="2" t="str">
        <v>E</v>
      </c>
      <c r="F18" s="2" t="str">
        <v>B</v>
      </c>
      <c r="G18" s="2" t="str">
        <v>A</v>
      </c>
      <c r="J18" s="30" t="str">
        <v>B</v>
      </c>
      <c r="K18" s="29" t="str">
        <v>B</v>
      </c>
      <c r="L18" s="32" t="s">
        <v>18</v>
      </c>
      <c r="M18" s="28" t="s">
        <v>30</v>
      </c>
    </row>
    <row r="19" spans="1:18">
      <c r="A19" s="5"/>
      <c r="B19" s="9" t="s">
        <v>34</v>
      </c>
      <c r="C19" s="2" t="str">
        <v>E</v>
      </c>
      <c r="D19" s="2" t="str">
        <v>F</v>
      </c>
      <c r="E19" s="2" t="str">
        <v>G</v>
      </c>
      <c r="F19" s="2" t="str">
        <v>G</v>
      </c>
      <c r="G19" s="2" t="str">
        <v>F</v>
      </c>
      <c r="J19" s="30" t="str">
        <v>E</v>
      </c>
      <c r="K19" s="29" t="str">
        <v>E</v>
      </c>
      <c r="L19" s="23" t="s">
        <v>20</v>
      </c>
    </row>
    <row r="20" spans="1:18">
      <c r="B20" s="9" t="s">
        <v>35</v>
      </c>
      <c r="C20" s="2" t="str">
        <v>F</v>
      </c>
      <c r="D20" s="2" t="str">
        <v>B</v>
      </c>
      <c r="E20" s="2" t="str">
        <v>D</v>
      </c>
      <c r="F20" s="2" t="str">
        <v>F</v>
      </c>
      <c r="G20" s="2" t="str">
        <v>E</v>
      </c>
      <c r="J20" s="24" t="str">
        <v>F</v>
      </c>
      <c r="K20" s="25" t="str">
        <v>F</v>
      </c>
      <c r="L20" s="23" t="s">
        <v>17</v>
      </c>
    </row>
    <row r="21" spans="1:18">
      <c r="I21" s="39" t="s">
        <v>36</v>
      </c>
      <c r="J21" s="40" t="s">
        <v>37</v>
      </c>
      <c r="K21" s="40" t="s">
        <v>38</v>
      </c>
      <c r="L21" s="40" t="s">
        <v>39</v>
      </c>
    </row>
    <row r="22" spans="1:18">
      <c r="I22" t="s">
        <v>40</v>
      </c>
      <c r="J22" t="s">
        <v>41</v>
      </c>
      <c r="K22" t="s">
        <v>42</v>
      </c>
    </row>
    <row r="23" spans="1:18">
      <c r="B23" s="51" t="s">
        <v>2</v>
      </c>
      <c r="C23" s="53" t="s">
        <v>43</v>
      </c>
      <c r="D23" s="54"/>
      <c r="E23" s="54"/>
      <c r="F23" s="54"/>
    </row>
    <row r="24" spans="1:18">
      <c r="B24" s="52"/>
      <c r="C24" s="53"/>
      <c r="D24" s="54"/>
      <c r="E24" s="54"/>
      <c r="F24" s="54"/>
    </row>
    <row r="25" spans="1:18">
      <c r="B25" s="7" t="s">
        <v>20</v>
      </c>
      <c r="C25" s="55" t="s">
        <v>44</v>
      </c>
      <c r="D25" s="55"/>
      <c r="E25" s="55"/>
      <c r="F25" s="55"/>
    </row>
    <row r="26" spans="1:18">
      <c r="B26" s="7" t="s">
        <v>17</v>
      </c>
      <c r="C26" s="55" t="s">
        <v>45</v>
      </c>
      <c r="D26" s="55"/>
      <c r="E26" s="55"/>
      <c r="F26" s="55"/>
    </row>
    <row r="27" spans="1:18">
      <c r="B27" s="12" t="s">
        <v>14</v>
      </c>
      <c r="C27" s="56" t="s">
        <v>46</v>
      </c>
      <c r="D27" s="55"/>
      <c r="E27" s="55"/>
      <c r="F27" s="55"/>
    </row>
    <row r="28" spans="1:18">
      <c r="B28" s="12" t="s">
        <v>16</v>
      </c>
      <c r="C28" s="55" t="s">
        <v>47</v>
      </c>
      <c r="D28" s="55"/>
      <c r="E28" s="55"/>
      <c r="F28" s="55"/>
    </row>
    <row r="29" spans="1:18">
      <c r="B29" s="13" t="s">
        <v>48</v>
      </c>
      <c r="C29" s="48" t="s">
        <v>49</v>
      </c>
      <c r="D29" s="49"/>
      <c r="E29" s="49"/>
      <c r="F29" s="50"/>
    </row>
    <row r="30" spans="1:18">
      <c r="B30" s="12" t="s">
        <v>19</v>
      </c>
      <c r="C30" s="48" t="s">
        <v>50</v>
      </c>
      <c r="D30" s="49"/>
      <c r="E30" s="49"/>
      <c r="F30" s="50"/>
    </row>
    <row r="31" spans="1:18">
      <c r="B31"/>
    </row>
  </sheetData>
  <mergeCells count="14">
    <mergeCell ref="C29:F29"/>
    <mergeCell ref="C30:F30"/>
    <mergeCell ref="B23:B24"/>
    <mergeCell ref="C23:F24"/>
    <mergeCell ref="C25:F25"/>
    <mergeCell ref="C26:F26"/>
    <mergeCell ref="C27:F27"/>
    <mergeCell ref="C28:F28"/>
    <mergeCell ref="G12:G13"/>
    <mergeCell ref="B12:B13"/>
    <mergeCell ref="C12:C13"/>
    <mergeCell ref="D12:D13"/>
    <mergeCell ref="E12:E13"/>
    <mergeCell ref="F12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A55E-8665-4C84-9920-F7BBF0B512DB}">
  <dimension ref="A1:R31"/>
  <sheetViews>
    <sheetView showGridLines="0" zoomScale="115" zoomScaleNormal="115" workbookViewId="0">
      <selection activeCell="M28" sqref="M28"/>
    </sheetView>
  </sheetViews>
  <sheetFormatPr defaultColWidth="8.6640625" defaultRowHeight="14.4"/>
  <cols>
    <col min="1" max="1" width="8.6640625" customWidth="1"/>
    <col min="2" max="2" width="19" style="3" bestFit="1" customWidth="1"/>
    <col min="3" max="14" width="13.6640625" customWidth="1"/>
    <col min="15" max="15" width="12.109375" bestFit="1" customWidth="1"/>
    <col min="16" max="16" width="13.109375" customWidth="1"/>
  </cols>
  <sheetData>
    <row r="1" spans="2:18">
      <c r="B1" s="35" t="s">
        <v>0</v>
      </c>
      <c r="C1" s="34">
        <v>1</v>
      </c>
      <c r="D1" s="34">
        <v>1</v>
      </c>
      <c r="E1" s="34">
        <v>1</v>
      </c>
      <c r="F1" s="34">
        <v>1</v>
      </c>
      <c r="G1" s="34">
        <v>1</v>
      </c>
    </row>
    <row r="2" spans="2:18">
      <c r="B2" s="35" t="s">
        <v>1</v>
      </c>
      <c r="C2" s="34">
        <v>1</v>
      </c>
      <c r="D2" s="34">
        <v>1</v>
      </c>
      <c r="E2" s="34">
        <v>1</v>
      </c>
      <c r="F2" s="34">
        <v>2</v>
      </c>
      <c r="G2" s="34">
        <v>2</v>
      </c>
    </row>
    <row r="3" spans="2:18" ht="41.4">
      <c r="B3" s="4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6" t="s">
        <v>8</v>
      </c>
      <c r="I3" s="16" t="s">
        <v>9</v>
      </c>
      <c r="J3" s="17" t="s">
        <v>10</v>
      </c>
      <c r="K3" s="33" t="s">
        <v>11</v>
      </c>
      <c r="L3" s="14" t="s">
        <v>12</v>
      </c>
      <c r="M3" s="18" t="s">
        <v>13</v>
      </c>
    </row>
    <row r="4" spans="2:18">
      <c r="B4" s="10" t="s">
        <v>14</v>
      </c>
      <c r="C4" s="2">
        <v>2</v>
      </c>
      <c r="D4" s="2">
        <v>4</v>
      </c>
      <c r="E4" s="2">
        <v>1</v>
      </c>
      <c r="F4" s="2">
        <v>3</v>
      </c>
      <c r="G4" s="2">
        <v>4</v>
      </c>
      <c r="H4" s="6">
        <v>1</v>
      </c>
      <c r="I4" s="6">
        <v>0</v>
      </c>
      <c r="J4" s="6">
        <v>0</v>
      </c>
      <c r="K4" s="1">
        <f>SUM(C4:G4)</f>
        <v>14</v>
      </c>
      <c r="L4" s="26">
        <f>SUMPRODUCT($C$1:$E$1,C4:E4)/SUM($C$1:$E$1)</f>
        <v>2.3333333333333335</v>
      </c>
      <c r="M4" s="26">
        <f>SUMPRODUCT(C4:G4,$C$2:$G$2)/SUM($C$2:$G$2)</f>
        <v>3</v>
      </c>
    </row>
    <row r="5" spans="2:18">
      <c r="B5" s="10" t="s">
        <v>15</v>
      </c>
      <c r="C5" s="2">
        <v>3</v>
      </c>
      <c r="D5" s="2">
        <v>5</v>
      </c>
      <c r="E5" s="2">
        <v>2</v>
      </c>
      <c r="F5" s="2">
        <v>3</v>
      </c>
      <c r="G5" s="2">
        <v>3</v>
      </c>
      <c r="H5" s="6">
        <v>0</v>
      </c>
      <c r="I5" s="6">
        <v>0</v>
      </c>
      <c r="J5" s="6">
        <v>1</v>
      </c>
      <c r="K5" s="1">
        <f t="shared" ref="K5:K10" si="0">SUM(C5:G5)</f>
        <v>16</v>
      </c>
      <c r="L5" s="26">
        <f t="shared" ref="L5:L10" si="1">SUMPRODUCT($C$1:$E$1,C5:E5)/SUM($C$1:$E$1)</f>
        <v>3.3333333333333335</v>
      </c>
      <c r="M5" s="26">
        <f t="shared" ref="M5:M10" si="2">SUMPRODUCT(C5:G5,$C$2:$G$2)/SUM($C$2:$G$2)</f>
        <v>3.1428571428571428</v>
      </c>
    </row>
    <row r="6" spans="2:18">
      <c r="B6" s="10" t="s">
        <v>16</v>
      </c>
      <c r="C6" s="2">
        <v>2</v>
      </c>
      <c r="D6" s="2">
        <v>1</v>
      </c>
      <c r="E6" s="2">
        <v>3</v>
      </c>
      <c r="F6" s="2">
        <v>2</v>
      </c>
      <c r="G6" s="2">
        <v>3</v>
      </c>
      <c r="H6" s="6">
        <v>0</v>
      </c>
      <c r="I6" s="6">
        <v>1</v>
      </c>
      <c r="J6" s="6">
        <v>0</v>
      </c>
      <c r="K6" s="1">
        <f t="shared" si="0"/>
        <v>11</v>
      </c>
      <c r="L6" s="26">
        <f t="shared" si="1"/>
        <v>2</v>
      </c>
      <c r="M6" s="26">
        <f t="shared" si="2"/>
        <v>2.2857142857142856</v>
      </c>
    </row>
    <row r="7" spans="2:18">
      <c r="B7" s="10" t="s">
        <v>17</v>
      </c>
      <c r="C7" s="2">
        <v>2</v>
      </c>
      <c r="D7" s="2">
        <v>2</v>
      </c>
      <c r="E7" s="2">
        <v>5</v>
      </c>
      <c r="F7" s="2">
        <v>2</v>
      </c>
      <c r="G7" s="2">
        <v>2</v>
      </c>
      <c r="H7" s="6">
        <v>0</v>
      </c>
      <c r="I7" s="6">
        <v>0</v>
      </c>
      <c r="J7" s="6">
        <v>0</v>
      </c>
      <c r="K7" s="1">
        <f t="shared" si="0"/>
        <v>13</v>
      </c>
      <c r="L7" s="26">
        <f t="shared" si="1"/>
        <v>3</v>
      </c>
      <c r="M7" s="26">
        <f t="shared" si="2"/>
        <v>2.4285714285714284</v>
      </c>
    </row>
    <row r="8" spans="2:18">
      <c r="B8" s="10" t="s">
        <v>18</v>
      </c>
      <c r="C8" s="2">
        <v>3</v>
      </c>
      <c r="D8" s="2">
        <v>4</v>
      </c>
      <c r="E8" s="2">
        <v>3</v>
      </c>
      <c r="F8" s="2">
        <v>2</v>
      </c>
      <c r="G8" s="2">
        <v>5</v>
      </c>
      <c r="H8" s="6">
        <v>0</v>
      </c>
      <c r="I8" s="6">
        <v>0</v>
      </c>
      <c r="J8" s="6">
        <v>1</v>
      </c>
      <c r="K8" s="1">
        <f t="shared" si="0"/>
        <v>17</v>
      </c>
      <c r="L8" s="26">
        <f t="shared" si="1"/>
        <v>3.3333333333333335</v>
      </c>
      <c r="M8" s="26">
        <f t="shared" si="2"/>
        <v>3.4285714285714284</v>
      </c>
    </row>
    <row r="9" spans="2:18">
      <c r="B9" s="10" t="s">
        <v>19</v>
      </c>
      <c r="C9" s="2">
        <v>5</v>
      </c>
      <c r="D9" s="2">
        <v>4</v>
      </c>
      <c r="E9" s="2">
        <v>2</v>
      </c>
      <c r="F9" s="2">
        <v>4</v>
      </c>
      <c r="G9" s="2">
        <v>4</v>
      </c>
      <c r="H9" s="6">
        <v>1</v>
      </c>
      <c r="I9" s="6">
        <v>1</v>
      </c>
      <c r="J9" s="6">
        <v>0</v>
      </c>
      <c r="K9" s="1">
        <f t="shared" si="0"/>
        <v>19</v>
      </c>
      <c r="L9" s="26">
        <f t="shared" si="1"/>
        <v>3.6666666666666665</v>
      </c>
      <c r="M9" s="26">
        <f t="shared" si="2"/>
        <v>3.8571428571428572</v>
      </c>
    </row>
    <row r="10" spans="2:18">
      <c r="B10" s="10" t="s">
        <v>20</v>
      </c>
      <c r="C10" s="2">
        <v>2</v>
      </c>
      <c r="D10" s="2">
        <v>1</v>
      </c>
      <c r="E10" s="2">
        <v>3</v>
      </c>
      <c r="F10" s="2">
        <v>3</v>
      </c>
      <c r="G10" s="2">
        <v>3</v>
      </c>
      <c r="H10" s="6">
        <v>0</v>
      </c>
      <c r="I10" s="6">
        <v>0</v>
      </c>
      <c r="J10" s="6">
        <v>0</v>
      </c>
      <c r="K10" s="1">
        <f t="shared" si="0"/>
        <v>12</v>
      </c>
      <c r="L10" s="26">
        <f t="shared" si="1"/>
        <v>2</v>
      </c>
      <c r="M10" s="26">
        <f t="shared" si="2"/>
        <v>2.5714285714285716</v>
      </c>
    </row>
    <row r="12" spans="2:18">
      <c r="B12" s="43" t="s">
        <v>21</v>
      </c>
      <c r="C12" s="44" t="s">
        <v>3</v>
      </c>
      <c r="D12" s="46" t="s">
        <v>4</v>
      </c>
      <c r="E12" s="46" t="s">
        <v>5</v>
      </c>
      <c r="F12" s="46" t="s">
        <v>6</v>
      </c>
      <c r="G12" s="41" t="s">
        <v>7</v>
      </c>
      <c r="J12" s="19" t="s">
        <v>22</v>
      </c>
      <c r="K12" s="21" t="s">
        <v>23</v>
      </c>
      <c r="L12" s="20" t="s">
        <v>24</v>
      </c>
    </row>
    <row r="13" spans="2:18" ht="34.950000000000003" customHeight="1">
      <c r="B13" s="43"/>
      <c r="C13" s="45"/>
      <c r="D13" s="47"/>
      <c r="E13" s="47"/>
      <c r="F13" s="47"/>
      <c r="G13" s="42"/>
      <c r="J13" s="19" t="s">
        <v>25</v>
      </c>
      <c r="K13" s="22" t="s">
        <v>26</v>
      </c>
      <c r="L13" s="17" t="s">
        <v>27</v>
      </c>
    </row>
    <row r="14" spans="2:18">
      <c r="B14" s="9" t="s">
        <v>28</v>
      </c>
      <c r="C14" s="2" t="str" cm="1">
        <f t="array" ref="C14:C20">_xlfn.SORTBY($B$4:$B$10, C4:C10, 1)</f>
        <v>A</v>
      </c>
      <c r="D14" s="2" t="str" cm="1">
        <f t="array" ref="D14:D20">_xlfn.SORTBY(B4:B10,D4:D10)</f>
        <v>C</v>
      </c>
      <c r="E14" s="2" t="str" cm="1">
        <f t="array" ref="E14:E20">_xlfn.SORTBY(B4:B10,E4:E10)</f>
        <v>A</v>
      </c>
      <c r="F14" s="2" t="str" cm="1">
        <f t="array" ref="F14:F20">_xlfn.SORTBY(B4:B10,F4:F10)</f>
        <v>C</v>
      </c>
      <c r="G14" s="2" t="str" cm="1">
        <f t="array" ref="G14:G20">_xlfn.SORTBY(B4:B10,G4:G10)</f>
        <v>D</v>
      </c>
      <c r="J14" s="11" t="str" cm="1">
        <f t="array" ref="J14:J20">_xlfn.SORTBY(B4:B10,L4:L10)</f>
        <v>C</v>
      </c>
      <c r="K14" s="38" t="str" cm="1">
        <f t="array" ref="K14:K20">_xlfn.SORTBY(B4:B10,M4:M10)</f>
        <v>C</v>
      </c>
      <c r="L14" s="37" t="s">
        <v>14</v>
      </c>
      <c r="Q14" s="8"/>
      <c r="R14" s="8"/>
    </row>
    <row r="15" spans="2:18">
      <c r="B15" s="9" t="s">
        <v>29</v>
      </c>
      <c r="C15" s="2" t="str">
        <v>C</v>
      </c>
      <c r="D15" s="2" t="str">
        <v>G</v>
      </c>
      <c r="E15" s="2" t="str">
        <v>B</v>
      </c>
      <c r="F15" s="2" t="str">
        <v>D</v>
      </c>
      <c r="G15" s="2" t="str">
        <v>B</v>
      </c>
      <c r="J15" s="36" t="str">
        <v>G</v>
      </c>
      <c r="K15" s="31" t="str">
        <v>D</v>
      </c>
      <c r="L15" s="32" t="s">
        <v>15</v>
      </c>
      <c r="M15" s="28" t="s">
        <v>30</v>
      </c>
      <c r="Q15" s="8"/>
      <c r="R15" s="8"/>
    </row>
    <row r="16" spans="2:18">
      <c r="B16" s="9" t="s">
        <v>31</v>
      </c>
      <c r="C16" s="2" t="str">
        <v>D</v>
      </c>
      <c r="D16" s="2" t="str">
        <v>D</v>
      </c>
      <c r="E16" s="2" t="str">
        <v>F</v>
      </c>
      <c r="F16" s="2" t="str">
        <v>E</v>
      </c>
      <c r="G16" s="2" t="str">
        <v>C</v>
      </c>
      <c r="J16" s="24" t="str">
        <v>A</v>
      </c>
      <c r="K16" s="1" t="str">
        <v>G</v>
      </c>
      <c r="L16" s="37" t="s">
        <v>19</v>
      </c>
      <c r="Q16" s="8"/>
      <c r="R16" s="8"/>
    </row>
    <row r="17" spans="1:18">
      <c r="A17" s="5"/>
      <c r="B17" s="9" t="s">
        <v>32</v>
      </c>
      <c r="C17" s="2" t="str">
        <v>G</v>
      </c>
      <c r="D17" s="2" t="str">
        <v>A</v>
      </c>
      <c r="E17" s="2" t="str">
        <v>C</v>
      </c>
      <c r="F17" s="2" t="str">
        <v>A</v>
      </c>
      <c r="G17" s="2" t="str">
        <v>G</v>
      </c>
      <c r="J17" s="27" t="str">
        <v>D</v>
      </c>
      <c r="K17" s="25" t="str">
        <v>A</v>
      </c>
      <c r="L17" s="25" t="s">
        <v>16</v>
      </c>
      <c r="Q17" s="8"/>
      <c r="R17" s="8"/>
    </row>
    <row r="18" spans="1:18">
      <c r="A18" s="5"/>
      <c r="B18" s="9" t="s">
        <v>33</v>
      </c>
      <c r="C18" s="2" t="str">
        <v>B</v>
      </c>
      <c r="D18" s="2" t="str">
        <v>E</v>
      </c>
      <c r="E18" s="2" t="str">
        <v>E</v>
      </c>
      <c r="F18" s="2" t="str">
        <v>B</v>
      </c>
      <c r="G18" s="2" t="str">
        <v>A</v>
      </c>
      <c r="J18" s="30" t="str">
        <v>B</v>
      </c>
      <c r="K18" s="29" t="str">
        <v>B</v>
      </c>
      <c r="L18" s="32" t="s">
        <v>18</v>
      </c>
      <c r="M18" s="28" t="s">
        <v>30</v>
      </c>
    </row>
    <row r="19" spans="1:18">
      <c r="A19" s="5"/>
      <c r="B19" s="9" t="s">
        <v>34</v>
      </c>
      <c r="C19" s="2" t="str">
        <v>E</v>
      </c>
      <c r="D19" s="2" t="str">
        <v>F</v>
      </c>
      <c r="E19" s="2" t="str">
        <v>G</v>
      </c>
      <c r="F19" s="2" t="str">
        <v>G</v>
      </c>
      <c r="G19" s="2" t="str">
        <v>F</v>
      </c>
      <c r="J19" s="30" t="str">
        <v>E</v>
      </c>
      <c r="K19" s="29" t="str">
        <v>E</v>
      </c>
      <c r="L19" s="23" t="s">
        <v>20</v>
      </c>
    </row>
    <row r="20" spans="1:18">
      <c r="B20" s="9" t="s">
        <v>35</v>
      </c>
      <c r="C20" s="2" t="str">
        <v>F</v>
      </c>
      <c r="D20" s="2" t="str">
        <v>B</v>
      </c>
      <c r="E20" s="2" t="str">
        <v>D</v>
      </c>
      <c r="F20" s="2" t="str">
        <v>F</v>
      </c>
      <c r="G20" s="2" t="str">
        <v>E</v>
      </c>
      <c r="J20" s="24" t="str">
        <v>F</v>
      </c>
      <c r="K20" s="25" t="str">
        <v>F</v>
      </c>
      <c r="L20" s="23" t="s">
        <v>17</v>
      </c>
    </row>
    <row r="21" spans="1:18">
      <c r="I21" s="39" t="s">
        <v>36</v>
      </c>
      <c r="J21" s="40" t="s">
        <v>37</v>
      </c>
      <c r="K21" s="40" t="s">
        <v>38</v>
      </c>
      <c r="L21" s="40" t="s">
        <v>39</v>
      </c>
    </row>
    <row r="23" spans="1:18">
      <c r="B23" s="51" t="s">
        <v>2</v>
      </c>
      <c r="C23" s="53" t="s">
        <v>43</v>
      </c>
      <c r="D23" s="54"/>
      <c r="E23" s="54"/>
      <c r="F23" s="54"/>
    </row>
    <row r="24" spans="1:18">
      <c r="B24" s="52"/>
      <c r="C24" s="53"/>
      <c r="D24" s="54"/>
      <c r="E24" s="54"/>
      <c r="F24" s="54"/>
    </row>
    <row r="25" spans="1:18">
      <c r="B25" s="7" t="s">
        <v>20</v>
      </c>
      <c r="C25" s="55" t="s">
        <v>44</v>
      </c>
      <c r="D25" s="55"/>
      <c r="E25" s="55"/>
      <c r="F25" s="55"/>
    </row>
    <row r="26" spans="1:18">
      <c r="B26" s="7" t="s">
        <v>17</v>
      </c>
      <c r="C26" s="55" t="s">
        <v>45</v>
      </c>
      <c r="D26" s="55"/>
      <c r="E26" s="55"/>
      <c r="F26" s="55"/>
    </row>
    <row r="27" spans="1:18">
      <c r="B27" s="12" t="s">
        <v>14</v>
      </c>
      <c r="C27" s="55" t="s">
        <v>51</v>
      </c>
      <c r="D27" s="55"/>
      <c r="E27" s="55"/>
      <c r="F27" s="55"/>
    </row>
    <row r="28" spans="1:18">
      <c r="B28" s="12" t="s">
        <v>16</v>
      </c>
      <c r="C28" s="55" t="s">
        <v>47</v>
      </c>
      <c r="D28" s="55"/>
      <c r="E28" s="55"/>
      <c r="F28" s="55"/>
    </row>
    <row r="29" spans="1:18">
      <c r="B29" s="13" t="s">
        <v>48</v>
      </c>
      <c r="C29" s="48" t="s">
        <v>49</v>
      </c>
      <c r="D29" s="49"/>
      <c r="E29" s="49"/>
      <c r="F29" s="50"/>
    </row>
    <row r="30" spans="1:18">
      <c r="B30" s="12" t="s">
        <v>19</v>
      </c>
      <c r="C30" s="48" t="s">
        <v>50</v>
      </c>
      <c r="D30" s="49"/>
      <c r="E30" s="49"/>
      <c r="F30" s="50"/>
    </row>
    <row r="31" spans="1:18">
      <c r="B31"/>
    </row>
  </sheetData>
  <mergeCells count="14">
    <mergeCell ref="G12:G13"/>
    <mergeCell ref="B12:B13"/>
    <mergeCell ref="C12:C13"/>
    <mergeCell ref="D12:D13"/>
    <mergeCell ref="E12:E13"/>
    <mergeCell ref="F12:F13"/>
    <mergeCell ref="C29:F29"/>
    <mergeCell ref="C30:F30"/>
    <mergeCell ref="B23:B24"/>
    <mergeCell ref="C23:F24"/>
    <mergeCell ref="C25:F25"/>
    <mergeCell ref="C26:F26"/>
    <mergeCell ref="C27:F27"/>
    <mergeCell ref="C28:F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3B93D2C0B4B44894B57C95EDB7C175" ma:contentTypeVersion="4" ma:contentTypeDescription="Create a new document." ma:contentTypeScope="" ma:versionID="abc6b69c464f0c1f564918d5cc6b2be0">
  <xsd:schema xmlns:xsd="http://www.w3.org/2001/XMLSchema" xmlns:xs="http://www.w3.org/2001/XMLSchema" xmlns:p="http://schemas.microsoft.com/office/2006/metadata/properties" xmlns:ns2="1d221033-8f68-4f64-8173-c37f62a0bd87" targetNamespace="http://schemas.microsoft.com/office/2006/metadata/properties" ma:root="true" ma:fieldsID="61d3ffffcd31529c89d25309ac155b3a" ns2:_="">
    <xsd:import namespace="1d221033-8f68-4f64-8173-c37f62a0bd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221033-8f68-4f64-8173-c37f62a0bd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9F9414-31D7-4DF4-88B7-66C178E0A1D4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1d221033-8f68-4f64-8173-c37f62a0bd8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54EE915-40F5-4CCE-9CC0-BE40D0FEFA5C}"/>
</file>

<file path=customXml/itemProps3.xml><?xml version="1.0" encoding="utf-8"?>
<ds:datastoreItem xmlns:ds="http://schemas.openxmlformats.org/officeDocument/2006/customXml" ds:itemID="{C919FE8E-9B8B-494A-96CD-460D2B41AC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Arya Case (Solution)</vt:lpstr>
      <vt:lpstr>Arya 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Elif Kuscu</cp:lastModifiedBy>
  <cp:revision/>
  <dcterms:created xsi:type="dcterms:W3CDTF">2025-03-24T15:02:08Z</dcterms:created>
  <dcterms:modified xsi:type="dcterms:W3CDTF">2025-11-20T10:59:23Z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0x010100A83B93D2C0B4B44894B57C95EDB7C175</vt:lpwstr>
  </property>
</Properties>
</file>